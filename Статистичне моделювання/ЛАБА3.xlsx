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b\OneDrive\Робочий стіл\OPFK4\Статистичне моделювання\"/>
    </mc:Choice>
  </mc:AlternateContent>
  <xr:revisionPtr revIDLastSave="0" documentId="13_ncr:1_{77156CB4-AF15-4A2C-BAC4-BB16E489C0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1" l="1"/>
  <c r="B16" i="1"/>
  <c r="C12" i="1"/>
  <c r="A16" i="1" s="1"/>
  <c r="B12" i="1"/>
  <c r="C16" i="1" s="1"/>
  <c r="G10" i="1"/>
  <c r="F10" i="1"/>
  <c r="E10" i="1"/>
  <c r="D10" i="1"/>
  <c r="H10" i="1" s="1"/>
  <c r="G9" i="1"/>
  <c r="F9" i="1"/>
  <c r="E9" i="1"/>
  <c r="D9" i="1"/>
  <c r="H9" i="1" s="1"/>
  <c r="G8" i="1"/>
  <c r="F8" i="1"/>
  <c r="E8" i="1"/>
  <c r="D8" i="1"/>
  <c r="H8" i="1" s="1"/>
  <c r="G7" i="1"/>
  <c r="F7" i="1"/>
  <c r="E7" i="1"/>
  <c r="D7" i="1"/>
  <c r="H7" i="1" s="1"/>
  <c r="G6" i="1"/>
  <c r="F6" i="1"/>
  <c r="E6" i="1"/>
  <c r="D6" i="1"/>
  <c r="H6" i="1" s="1"/>
  <c r="G5" i="1"/>
  <c r="F5" i="1"/>
  <c r="E5" i="1"/>
  <c r="D5" i="1"/>
  <c r="H5" i="1" s="1"/>
  <c r="H4" i="1"/>
  <c r="G4" i="1"/>
  <c r="F4" i="1"/>
  <c r="E4" i="1"/>
  <c r="D4" i="1"/>
  <c r="G3" i="1"/>
  <c r="F3" i="1"/>
  <c r="E3" i="1"/>
  <c r="D3" i="1"/>
  <c r="H3" i="1" s="1"/>
  <c r="G2" i="1"/>
  <c r="F2" i="1"/>
  <c r="E2" i="1"/>
  <c r="D2" i="1"/>
  <c r="H2" i="1" s="1"/>
  <c r="G12" i="1" l="1"/>
  <c r="A17" i="1" s="1"/>
  <c r="F16" i="1"/>
  <c r="G16" i="1"/>
  <c r="E12" i="1"/>
  <c r="L17" i="1" s="1"/>
  <c r="K16" i="1"/>
  <c r="F12" i="1"/>
  <c r="J17" i="1"/>
  <c r="H18" i="1"/>
  <c r="L18" i="1"/>
  <c r="D18" i="1"/>
  <c r="H12" i="1"/>
  <c r="H17" i="1"/>
  <c r="G18" i="1"/>
  <c r="D17" i="1"/>
  <c r="C18" i="1"/>
  <c r="C13" i="1"/>
  <c r="B17" i="1"/>
  <c r="D12" i="1"/>
  <c r="F17" i="1" l="1"/>
  <c r="K17" i="1"/>
  <c r="F18" i="1"/>
  <c r="A18" i="1"/>
  <c r="K18" i="1"/>
  <c r="J18" i="1"/>
  <c r="G17" i="1"/>
  <c r="D16" i="1"/>
  <c r="C17" i="1"/>
  <c r="B23" i="1" s="1"/>
  <c r="L16" i="1"/>
  <c r="B22" i="1" s="1"/>
  <c r="B18" i="1"/>
  <c r="H16" i="1"/>
  <c r="J6" i="1"/>
  <c r="I6" i="1"/>
  <c r="J7" i="1"/>
  <c r="I7" i="1"/>
  <c r="I8" i="1"/>
  <c r="J3" i="1"/>
  <c r="I9" i="1"/>
  <c r="J10" i="1"/>
  <c r="J4" i="1"/>
  <c r="J5" i="1"/>
  <c r="I5" i="1"/>
  <c r="I2" i="1"/>
  <c r="J9" i="1"/>
  <c r="I3" i="1"/>
  <c r="I10" i="1"/>
  <c r="I4" i="1"/>
  <c r="J8" i="1"/>
  <c r="J2" i="1"/>
  <c r="B21" i="1" l="1"/>
  <c r="I12" i="1"/>
  <c r="B20" i="1"/>
  <c r="E22" i="1" s="1"/>
  <c r="J12" i="1"/>
  <c r="E20" i="1" l="1"/>
  <c r="E21" i="1"/>
  <c r="K7" i="1" l="1"/>
  <c r="K8" i="1"/>
  <c r="K2" i="1"/>
  <c r="K3" i="1"/>
  <c r="K4" i="1"/>
  <c r="K6" i="1"/>
  <c r="K9" i="1"/>
  <c r="K10" i="1"/>
  <c r="K5" i="1"/>
  <c r="M8" i="1" l="1"/>
  <c r="L8" i="1"/>
  <c r="L7" i="1"/>
  <c r="M7" i="1"/>
  <c r="L5" i="1"/>
  <c r="M5" i="1"/>
  <c r="L10" i="1"/>
  <c r="M10" i="1"/>
  <c r="M9" i="1"/>
  <c r="L9" i="1"/>
  <c r="M6" i="1"/>
  <c r="L6" i="1"/>
  <c r="L4" i="1"/>
  <c r="M4" i="1"/>
  <c r="M3" i="1"/>
  <c r="L3" i="1"/>
  <c r="M2" i="1"/>
  <c r="L2" i="1"/>
  <c r="K12" i="1"/>
  <c r="M12" i="1" l="1"/>
  <c r="B25" i="1" s="1"/>
  <c r="L12" i="1"/>
  <c r="B27" i="1" l="1"/>
  <c r="B28" i="1" s="1"/>
</calcChain>
</file>

<file path=xl/sharedStrings.xml><?xml version="1.0" encoding="utf-8"?>
<sst xmlns="http://schemas.openxmlformats.org/spreadsheetml/2006/main" count="28" uniqueCount="28">
  <si>
    <t>№ п/п</t>
  </si>
  <si>
    <t>Продуктивність X, рік</t>
  </si>
  <si>
    <t>Заробітна плата Y, грн.</t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</si>
  <si>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</si>
  <si>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3</t>
    </r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</si>
  <si>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4</t>
    </r>
  </si>
  <si>
    <t>xy</t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</si>
  <si>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2</t>
    </r>
    <r>
      <rPr>
        <sz val="12"/>
        <color theme="1"/>
        <rFont val="Calibri"/>
        <family val="2"/>
        <charset val="204"/>
        <scheme val="minor"/>
      </rPr>
      <t>y</t>
    </r>
  </si>
  <si>
    <t>y-y_</t>
  </si>
  <si>
    <t>(y-y_)2</t>
  </si>
  <si>
    <t>y^</t>
  </si>
  <si>
    <t>y^-y_</t>
  </si>
  <si>
    <r>
      <t>(y^-y_)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</si>
  <si>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Всього</t>
  </si>
  <si>
    <t xml:space="preserve">В середньому </t>
  </si>
  <si>
    <t>Параметри для рівняння параболи(Завдання 1)</t>
  </si>
  <si>
    <t>Дельта</t>
  </si>
  <si>
    <t>a0=</t>
  </si>
  <si>
    <t>Дельта0</t>
  </si>
  <si>
    <t>a1=</t>
  </si>
  <si>
    <t>Дельта1</t>
  </si>
  <si>
    <t>a2=</t>
  </si>
  <si>
    <t>Дельта2</t>
  </si>
  <si>
    <t>Оціка щільності зв'язку(Завдання 2)</t>
  </si>
  <si>
    <t>Nx/y=</t>
  </si>
  <si>
    <t>Встановленння достовірності (Завдання 3)</t>
  </si>
  <si>
    <t>Un=</t>
  </si>
  <si>
    <t>Tn=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</si>
</sst>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1F1F1F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vertAlign val="superscript"/>
      <sz val="12"/>
      <color theme="1"/>
      <name val="Calibri"/>
      <family val="2"/>
      <charset val="204"/>
      <scheme val="minor"/>
    </font>
    <font>
      <sz val="12"/>
      <color rgb="FF1F1F1F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5" fillId="0" borderId="0" xfId="0" applyFont="1" applyAlignment="1">
      <alignment horizontal="left" vertical="center" wrapText="1" indent="1" readingOrder="1"/>
    </xf>
    <xf numFmtId="2" fontId="5" fillId="0" borderId="0" xfId="0" applyNumberFormat="1" applyFont="1" applyAlignment="1">
      <alignment horizontal="left" vertical="center" wrapText="1" indent="1" readingOrder="1"/>
    </xf>
    <xf numFmtId="2" fontId="3" fillId="0" borderId="0" xfId="0" applyNumberFormat="1" applyFont="1"/>
    <xf numFmtId="2" fontId="5" fillId="0" borderId="1" xfId="1" applyNumberFormat="1" applyFont="1" applyBorder="1" applyAlignment="1">
      <alignment horizontal="left" vertical="center" wrapText="1" indent="1" readingOrder="1"/>
    </xf>
    <xf numFmtId="2" fontId="3" fillId="0" borderId="1" xfId="0" applyNumberFormat="1" applyFont="1" applyBorder="1"/>
    <xf numFmtId="2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 indent="1" readingOrder="1"/>
    </xf>
    <xf numFmtId="0" fontId="3" fillId="3" borderId="1" xfId="0" applyFont="1" applyFill="1" applyBorder="1"/>
    <xf numFmtId="0" fontId="0" fillId="3" borderId="1" xfId="0" applyFill="1" applyBorder="1"/>
  </cellXfs>
  <cellStyles count="2">
    <cellStyle name="Звичайний" xfId="0" builtinId="0"/>
    <cellStyle name="Звичайний 2" xfId="1" xr:uid="{78AAD43B-E0EC-41ED-9B93-55A3B575C2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Емпір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</c:f>
              <c:numCache>
                <c:formatCode>0.00</c:formatCode>
                <c:ptCount val="9"/>
                <c:pt idx="0">
                  <c:v>1.8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2.35</c:v>
                </c:pt>
                <c:pt idx="5">
                  <c:v>2.44</c:v>
                </c:pt>
                <c:pt idx="6">
                  <c:v>2.54</c:v>
                </c:pt>
                <c:pt idx="7">
                  <c:v>2.6</c:v>
                </c:pt>
                <c:pt idx="8">
                  <c:v>2.63</c:v>
                </c:pt>
              </c:numCache>
            </c:numRef>
          </c:xVal>
          <c:yVal>
            <c:numRef>
              <c:f>Sheet1!$C$2:$C$10</c:f>
              <c:numCache>
                <c:formatCode>0.00</c:formatCode>
                <c:ptCount val="9"/>
                <c:pt idx="0">
                  <c:v>43</c:v>
                </c:pt>
                <c:pt idx="1">
                  <c:v>46</c:v>
                </c:pt>
                <c:pt idx="2">
                  <c:v>51</c:v>
                </c:pt>
                <c:pt idx="3">
                  <c:v>57</c:v>
                </c:pt>
                <c:pt idx="4">
                  <c:v>60.5</c:v>
                </c:pt>
                <c:pt idx="5">
                  <c:v>62.1</c:v>
                </c:pt>
                <c:pt idx="6">
                  <c:v>63</c:v>
                </c:pt>
                <c:pt idx="7">
                  <c:v>65.3</c:v>
                </c:pt>
                <c:pt idx="8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13-4788-A1C1-1475DB108C55}"/>
            </c:ext>
          </c:extLst>
        </c:ser>
        <c:ser>
          <c:idx val="1"/>
          <c:order val="1"/>
          <c:tx>
            <c:v>Теорит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Sheet1!$B$2:$B$10</c:f>
              <c:numCache>
                <c:formatCode>0.00</c:formatCode>
                <c:ptCount val="9"/>
                <c:pt idx="0">
                  <c:v>1.8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2.35</c:v>
                </c:pt>
                <c:pt idx="5">
                  <c:v>2.44</c:v>
                </c:pt>
                <c:pt idx="6">
                  <c:v>2.54</c:v>
                </c:pt>
                <c:pt idx="7">
                  <c:v>2.6</c:v>
                </c:pt>
                <c:pt idx="8">
                  <c:v>2.63</c:v>
                </c:pt>
              </c:numCache>
            </c:numRef>
          </c:xVal>
          <c:yVal>
            <c:numRef>
              <c:f>Sheet1!$K$2:$K$10</c:f>
              <c:numCache>
                <c:formatCode>0.00</c:formatCode>
                <c:ptCount val="9"/>
                <c:pt idx="0">
                  <c:v>42.06774841525241</c:v>
                </c:pt>
                <c:pt idx="1">
                  <c:v>48.451399860784065</c:v>
                </c:pt>
                <c:pt idx="2">
                  <c:v>51.596938012239228</c:v>
                </c:pt>
                <c:pt idx="3">
                  <c:v>54.711617782820618</c:v>
                </c:pt>
                <c:pt idx="4">
                  <c:v>59.325777974554356</c:v>
                </c:pt>
                <c:pt idx="5">
                  <c:v>62.060947038250902</c:v>
                </c:pt>
                <c:pt idx="6">
                  <c:v>65.070708313861445</c:v>
                </c:pt>
                <c:pt idx="7">
                  <c:v>66.861753056408347</c:v>
                </c:pt>
                <c:pt idx="8">
                  <c:v>67.753109546263843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13-4788-A1C1-1475DB108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47343"/>
        <c:axId val="2034849007"/>
      </c:scatterChart>
      <c:valAx>
        <c:axId val="2034847343"/>
        <c:scaling>
          <c:orientation val="minMax"/>
          <c:min val="1.7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34849007"/>
        <c:crosses val="autoZero"/>
        <c:crossBetween val="midCat"/>
      </c:valAx>
      <c:valAx>
        <c:axId val="2034849007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34847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295275</xdr:colOff>
      <xdr:row>0</xdr:row>
      <xdr:rowOff>47625</xdr:rowOff>
    </xdr:from>
    <xdr:to>
      <xdr:col>23</xdr:col>
      <xdr:colOff>541338</xdr:colOff>
      <xdr:row>17</xdr:row>
      <xdr:rowOff>90488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60389DEE-AF75-4000-8CF4-AEB73144D08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A24" sqref="A24:B24"/>
    </sheetView>
  </sheetViews>
  <sheetFormatPr defaultRowHeight="15" x14ac:dyDescent="0.25"/>
  <cols>
    <col min="2" max="2" width="11.42578125" customWidth="1"/>
    <col min="3" max="3" width="12" customWidth="1"/>
  </cols>
  <sheetData>
    <row r="1" spans="1:13" ht="47.25" x14ac:dyDescent="0.2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t="15.75" x14ac:dyDescent="0.25">
      <c r="A2" s="13">
        <v>1</v>
      </c>
      <c r="B2" s="4">
        <v>1.8</v>
      </c>
      <c r="C2" s="4">
        <v>43</v>
      </c>
      <c r="D2" s="5">
        <f>POWER(B2,2)</f>
        <v>3.24</v>
      </c>
      <c r="E2" s="5">
        <f>POWER(B2,3)</f>
        <v>5.8320000000000007</v>
      </c>
      <c r="F2" s="5">
        <f>POWER(B2,4)</f>
        <v>10.497600000000002</v>
      </c>
      <c r="G2" s="5">
        <f>B2*C2</f>
        <v>77.400000000000006</v>
      </c>
      <c r="H2" s="5">
        <f>D2*C2</f>
        <v>139.32000000000002</v>
      </c>
      <c r="I2" s="5">
        <f>C2-$C$13</f>
        <v>-14.544444444444451</v>
      </c>
      <c r="J2" s="5">
        <f>POWER(C2-$C$13,2)</f>
        <v>211.54086419753108</v>
      </c>
      <c r="K2" s="5">
        <f>$E$20+B2*$E$21+B2*B2*$E$22</f>
        <v>42.06774841525241</v>
      </c>
      <c r="L2" s="5">
        <f>K2-$C$13</f>
        <v>-15.476696029192041</v>
      </c>
      <c r="M2" s="5">
        <f>POWER(K2-$C$13,2)</f>
        <v>239.52811998000868</v>
      </c>
    </row>
    <row r="3" spans="1:13" ht="15.75" x14ac:dyDescent="0.25">
      <c r="A3" s="13">
        <v>2</v>
      </c>
      <c r="B3" s="4">
        <v>2</v>
      </c>
      <c r="C3" s="4">
        <v>46</v>
      </c>
      <c r="D3" s="5">
        <f t="shared" ref="D3:D10" si="0">POWER(B3,2)</f>
        <v>4</v>
      </c>
      <c r="E3" s="5">
        <f t="shared" ref="E3:E10" si="1">POWER(B3,3)</f>
        <v>8</v>
      </c>
      <c r="F3" s="5">
        <f t="shared" ref="F3:F10" si="2">POWER(B3,4)</f>
        <v>16</v>
      </c>
      <c r="G3" s="5">
        <f t="shared" ref="G3:G10" si="3">B3*C3</f>
        <v>92</v>
      </c>
      <c r="H3" s="5">
        <f t="shared" ref="H3:H10" si="4">D3*C3</f>
        <v>184</v>
      </c>
      <c r="I3" s="5">
        <f t="shared" ref="I3:I10" si="5">C3-$C$13</f>
        <v>-11.544444444444451</v>
      </c>
      <c r="J3" s="5">
        <f t="shared" ref="J3:J10" si="6">POWER(C3-$C$13,2)</f>
        <v>133.27419753086437</v>
      </c>
      <c r="K3" s="5">
        <f t="shared" ref="K3:K10" si="7">$E$20+B3*$E$21+B3*B3*$E$22</f>
        <v>48.451399860784065</v>
      </c>
      <c r="L3" s="5">
        <f t="shared" ref="L3:L10" si="8">K3-$C$13</f>
        <v>-9.0930445836603866</v>
      </c>
      <c r="M3" s="5">
        <f t="shared" ref="M3:M10" si="9">POWER(K3-$C$13,2)</f>
        <v>82.6834598004355</v>
      </c>
    </row>
    <row r="4" spans="1:13" ht="15.75" x14ac:dyDescent="0.25">
      <c r="A4" s="13">
        <v>3</v>
      </c>
      <c r="B4" s="4">
        <v>2.1</v>
      </c>
      <c r="C4" s="4">
        <v>51</v>
      </c>
      <c r="D4" s="5">
        <f t="shared" si="0"/>
        <v>4.41</v>
      </c>
      <c r="E4" s="5">
        <f t="shared" si="1"/>
        <v>9.261000000000001</v>
      </c>
      <c r="F4" s="5">
        <f t="shared" si="2"/>
        <v>19.4481</v>
      </c>
      <c r="G4" s="5">
        <f t="shared" si="3"/>
        <v>107.10000000000001</v>
      </c>
      <c r="H4" s="5">
        <f t="shared" si="4"/>
        <v>224.91</v>
      </c>
      <c r="I4" s="5">
        <f t="shared" si="5"/>
        <v>-6.5444444444444514</v>
      </c>
      <c r="J4" s="5">
        <f t="shared" si="6"/>
        <v>42.829753086419842</v>
      </c>
      <c r="K4" s="5">
        <f t="shared" si="7"/>
        <v>51.596938012239228</v>
      </c>
      <c r="L4" s="5">
        <f t="shared" si="8"/>
        <v>-5.9475064322052233</v>
      </c>
      <c r="M4" s="5">
        <f t="shared" si="9"/>
        <v>35.372832761122503</v>
      </c>
    </row>
    <row r="5" spans="1:13" ht="15.75" x14ac:dyDescent="0.25">
      <c r="A5" s="13">
        <v>4</v>
      </c>
      <c r="B5" s="4">
        <v>2.2000000000000002</v>
      </c>
      <c r="C5" s="4">
        <v>57</v>
      </c>
      <c r="D5" s="5">
        <f t="shared" si="0"/>
        <v>4.8400000000000007</v>
      </c>
      <c r="E5" s="5">
        <f t="shared" si="1"/>
        <v>10.648000000000003</v>
      </c>
      <c r="F5" s="5">
        <f t="shared" si="2"/>
        <v>23.425600000000006</v>
      </c>
      <c r="G5" s="5">
        <f t="shared" si="3"/>
        <v>125.4</v>
      </c>
      <c r="H5" s="5">
        <f t="shared" si="4"/>
        <v>275.88000000000005</v>
      </c>
      <c r="I5" s="5">
        <f t="shared" si="5"/>
        <v>-0.54444444444445139</v>
      </c>
      <c r="J5" s="5">
        <f t="shared" si="6"/>
        <v>0.29641975308642732</v>
      </c>
      <c r="K5" s="5">
        <f t="shared" si="7"/>
        <v>54.711617782820618</v>
      </c>
      <c r="L5" s="5">
        <f t="shared" si="8"/>
        <v>-2.8328266616238338</v>
      </c>
      <c r="M5" s="5">
        <f t="shared" si="9"/>
        <v>8.0249068948068345</v>
      </c>
    </row>
    <row r="6" spans="1:13" ht="15.75" x14ac:dyDescent="0.25">
      <c r="A6" s="13">
        <v>5</v>
      </c>
      <c r="B6" s="4">
        <v>2.35</v>
      </c>
      <c r="C6" s="4">
        <v>60.5</v>
      </c>
      <c r="D6" s="5">
        <f t="shared" si="0"/>
        <v>5.5225000000000009</v>
      </c>
      <c r="E6" s="5">
        <f t="shared" si="1"/>
        <v>12.977875000000003</v>
      </c>
      <c r="F6" s="5">
        <f t="shared" si="2"/>
        <v>30.49800625000001</v>
      </c>
      <c r="G6" s="5">
        <f t="shared" si="3"/>
        <v>142.17500000000001</v>
      </c>
      <c r="H6" s="5">
        <f t="shared" si="4"/>
        <v>334.11125000000004</v>
      </c>
      <c r="I6" s="5">
        <f t="shared" si="5"/>
        <v>2.9555555555555486</v>
      </c>
      <c r="J6" s="5">
        <f t="shared" si="6"/>
        <v>8.7353086419752675</v>
      </c>
      <c r="K6" s="5">
        <f t="shared" si="7"/>
        <v>59.325777974554356</v>
      </c>
      <c r="L6" s="5">
        <f t="shared" si="8"/>
        <v>1.7813335301099045</v>
      </c>
      <c r="M6" s="5">
        <f t="shared" si="9"/>
        <v>3.1731491454938139</v>
      </c>
    </row>
    <row r="7" spans="1:13" ht="15.75" x14ac:dyDescent="0.25">
      <c r="A7" s="13">
        <v>6</v>
      </c>
      <c r="B7" s="4">
        <v>2.44</v>
      </c>
      <c r="C7" s="4">
        <v>62.1</v>
      </c>
      <c r="D7" s="5">
        <f t="shared" si="0"/>
        <v>5.9535999999999998</v>
      </c>
      <c r="E7" s="5">
        <f t="shared" si="1"/>
        <v>14.526783999999999</v>
      </c>
      <c r="F7" s="5">
        <f t="shared" si="2"/>
        <v>35.445352959999994</v>
      </c>
      <c r="G7" s="5">
        <f t="shared" si="3"/>
        <v>151.524</v>
      </c>
      <c r="H7" s="5">
        <f t="shared" si="4"/>
        <v>369.71855999999997</v>
      </c>
      <c r="I7" s="5">
        <f t="shared" si="5"/>
        <v>4.55555555555555</v>
      </c>
      <c r="J7" s="5">
        <f t="shared" si="6"/>
        <v>20.753086419753036</v>
      </c>
      <c r="K7" s="5">
        <f t="shared" si="7"/>
        <v>62.060947038250902</v>
      </c>
      <c r="L7" s="5">
        <f t="shared" si="8"/>
        <v>4.5165025938064502</v>
      </c>
      <c r="M7" s="5">
        <f t="shared" si="9"/>
        <v>20.398795679860392</v>
      </c>
    </row>
    <row r="8" spans="1:13" ht="15.75" x14ac:dyDescent="0.25">
      <c r="A8" s="13">
        <v>7</v>
      </c>
      <c r="B8" s="4">
        <v>2.54</v>
      </c>
      <c r="C8" s="4">
        <v>63</v>
      </c>
      <c r="D8" s="5">
        <f t="shared" si="0"/>
        <v>6.4516</v>
      </c>
      <c r="E8" s="5">
        <f t="shared" si="1"/>
        <v>16.387063999999999</v>
      </c>
      <c r="F8" s="5">
        <f t="shared" si="2"/>
        <v>41.623142559999998</v>
      </c>
      <c r="G8" s="5">
        <f t="shared" si="3"/>
        <v>160.02000000000001</v>
      </c>
      <c r="H8" s="5">
        <f t="shared" si="4"/>
        <v>406.45080000000002</v>
      </c>
      <c r="I8" s="5">
        <f t="shared" si="5"/>
        <v>5.4555555555555486</v>
      </c>
      <c r="J8" s="5">
        <f t="shared" si="6"/>
        <v>29.763086419753012</v>
      </c>
      <c r="K8" s="5">
        <f t="shared" si="7"/>
        <v>65.070708313861445</v>
      </c>
      <c r="L8" s="5">
        <f t="shared" si="8"/>
        <v>7.5262638694169937</v>
      </c>
      <c r="M8" s="5">
        <f t="shared" si="9"/>
        <v>56.644647832091657</v>
      </c>
    </row>
    <row r="9" spans="1:13" ht="15.75" x14ac:dyDescent="0.25">
      <c r="A9" s="13">
        <v>8</v>
      </c>
      <c r="B9" s="4">
        <v>2.6</v>
      </c>
      <c r="C9" s="4">
        <v>65.3</v>
      </c>
      <c r="D9" s="5">
        <f t="shared" si="0"/>
        <v>6.7600000000000007</v>
      </c>
      <c r="E9" s="5">
        <f t="shared" si="1"/>
        <v>17.576000000000004</v>
      </c>
      <c r="F9" s="5">
        <f t="shared" si="2"/>
        <v>45.697600000000008</v>
      </c>
      <c r="G9" s="5">
        <f t="shared" si="3"/>
        <v>169.78</v>
      </c>
      <c r="H9" s="5">
        <f t="shared" si="4"/>
        <v>441.428</v>
      </c>
      <c r="I9" s="5">
        <f t="shared" si="5"/>
        <v>7.7555555555555458</v>
      </c>
      <c r="J9" s="5">
        <f t="shared" si="6"/>
        <v>60.148641975308493</v>
      </c>
      <c r="K9" s="5">
        <f t="shared" si="7"/>
        <v>66.861753056408347</v>
      </c>
      <c r="L9" s="5">
        <f t="shared" si="8"/>
        <v>9.3173086119638953</v>
      </c>
      <c r="M9" s="5">
        <f t="shared" si="9"/>
        <v>86.812239770576568</v>
      </c>
    </row>
    <row r="10" spans="1:13" ht="15.75" x14ac:dyDescent="0.25">
      <c r="A10" s="13">
        <v>9</v>
      </c>
      <c r="B10" s="4">
        <v>2.63</v>
      </c>
      <c r="C10" s="4">
        <v>70</v>
      </c>
      <c r="D10" s="5">
        <f t="shared" si="0"/>
        <v>6.9168999999999992</v>
      </c>
      <c r="E10" s="5">
        <f t="shared" si="1"/>
        <v>18.191446999999997</v>
      </c>
      <c r="F10" s="5">
        <f t="shared" si="2"/>
        <v>47.843505609999987</v>
      </c>
      <c r="G10" s="5">
        <f t="shared" si="3"/>
        <v>184.1</v>
      </c>
      <c r="H10" s="5">
        <f t="shared" si="4"/>
        <v>484.18299999999994</v>
      </c>
      <c r="I10" s="5">
        <f t="shared" si="5"/>
        <v>12.455555555555549</v>
      </c>
      <c r="J10" s="5">
        <f t="shared" si="6"/>
        <v>155.1408641975307</v>
      </c>
      <c r="K10" s="5">
        <f t="shared" si="7"/>
        <v>67.753109546263843</v>
      </c>
      <c r="L10" s="5">
        <f t="shared" si="8"/>
        <v>10.208665101819392</v>
      </c>
      <c r="M10" s="5">
        <f t="shared" si="9"/>
        <v>104.21684316110513</v>
      </c>
    </row>
    <row r="11" spans="1:13" ht="15.75" x14ac:dyDescent="0.25">
      <c r="A11" s="1"/>
      <c r="B11" s="2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.75" x14ac:dyDescent="0.25">
      <c r="A12" s="14" t="s">
        <v>13</v>
      </c>
      <c r="B12" s="5">
        <f>SUM(B2:B11)</f>
        <v>20.66</v>
      </c>
      <c r="C12" s="5">
        <f t="shared" ref="C12:M12" si="10">SUM(C2:C11)</f>
        <v>517.90000000000009</v>
      </c>
      <c r="D12" s="5">
        <f t="shared" si="10"/>
        <v>48.0946</v>
      </c>
      <c r="E12" s="5">
        <f t="shared" si="10"/>
        <v>113.40017000000002</v>
      </c>
      <c r="F12" s="5">
        <f t="shared" si="10"/>
        <v>270.47890737999995</v>
      </c>
      <c r="G12" s="5">
        <f t="shared" si="10"/>
        <v>1209.499</v>
      </c>
      <c r="H12" s="5">
        <f t="shared" si="10"/>
        <v>2860.0016100000003</v>
      </c>
      <c r="I12" s="5">
        <f t="shared" si="10"/>
        <v>-6.3948846218409017E-14</v>
      </c>
      <c r="J12" s="5">
        <f t="shared" si="10"/>
        <v>662.48222222222228</v>
      </c>
      <c r="K12" s="5">
        <f t="shared" si="10"/>
        <v>517.90000000043528</v>
      </c>
      <c r="L12" s="5">
        <f t="shared" si="10"/>
        <v>4.3515058223420056E-10</v>
      </c>
      <c r="M12" s="5">
        <f t="shared" si="10"/>
        <v>636.85499502550101</v>
      </c>
    </row>
    <row r="13" spans="1:13" ht="15.75" x14ac:dyDescent="0.25">
      <c r="A13" s="14" t="s">
        <v>14</v>
      </c>
      <c r="B13" s="5"/>
      <c r="C13" s="5">
        <f>C12/$A$10</f>
        <v>57.544444444444451</v>
      </c>
      <c r="D13" s="5"/>
      <c r="E13" s="5"/>
      <c r="F13" s="5"/>
      <c r="G13" s="5"/>
      <c r="H13" s="5"/>
      <c r="I13" s="5"/>
      <c r="J13" s="5"/>
      <c r="K13" s="5"/>
      <c r="L13" s="5"/>
      <c r="M13" s="5"/>
    </row>
    <row r="15" spans="1:13" x14ac:dyDescent="0.25">
      <c r="A15" s="10" t="s">
        <v>15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3" x14ac:dyDescent="0.25">
      <c r="A16" s="6">
        <f>$C$12</f>
        <v>517.90000000000009</v>
      </c>
      <c r="B16" s="7">
        <f>$A$10</f>
        <v>9</v>
      </c>
      <c r="C16" s="6">
        <f>$B$12</f>
        <v>20.66</v>
      </c>
      <c r="D16" s="6">
        <f>$D$12</f>
        <v>48.0946</v>
      </c>
      <c r="F16" s="6">
        <f>$C$12</f>
        <v>517.90000000000009</v>
      </c>
      <c r="G16" s="6">
        <f>$B$12</f>
        <v>20.66</v>
      </c>
      <c r="H16" s="6">
        <f>$D$12</f>
        <v>48.0946</v>
      </c>
      <c r="J16" s="7">
        <f>$A$10</f>
        <v>9</v>
      </c>
      <c r="K16" s="6">
        <f>$C$12</f>
        <v>517.90000000000009</v>
      </c>
      <c r="L16" s="6">
        <f>$D$12</f>
        <v>48.0946</v>
      </c>
    </row>
    <row r="17" spans="1:12" x14ac:dyDescent="0.25">
      <c r="A17" s="6">
        <f>$G$12</f>
        <v>1209.499</v>
      </c>
      <c r="B17" s="6">
        <f>$B$12</f>
        <v>20.66</v>
      </c>
      <c r="C17" s="6">
        <f>$D$12</f>
        <v>48.0946</v>
      </c>
      <c r="D17" s="6">
        <f>$E$12</f>
        <v>113.40017000000002</v>
      </c>
      <c r="F17" s="6">
        <f>$G$12</f>
        <v>1209.499</v>
      </c>
      <c r="G17" s="6">
        <f>$D$12</f>
        <v>48.0946</v>
      </c>
      <c r="H17" s="6">
        <f>$E$12</f>
        <v>113.40017000000002</v>
      </c>
      <c r="J17" s="6">
        <f>$B$12</f>
        <v>20.66</v>
      </c>
      <c r="K17" s="6">
        <f>$G$12</f>
        <v>1209.499</v>
      </c>
      <c r="L17" s="6">
        <f>$E$12</f>
        <v>113.40017000000002</v>
      </c>
    </row>
    <row r="18" spans="1:12" x14ac:dyDescent="0.25">
      <c r="A18" s="6">
        <f>$H$12</f>
        <v>2860.0016100000003</v>
      </c>
      <c r="B18" s="6">
        <f>$D$12</f>
        <v>48.0946</v>
      </c>
      <c r="C18" s="6">
        <f>$E$12</f>
        <v>113.40017000000002</v>
      </c>
      <c r="D18" s="6">
        <f>$F$12</f>
        <v>270.47890737999995</v>
      </c>
      <c r="F18" s="6">
        <f>$H$12</f>
        <v>2860.0016100000003</v>
      </c>
      <c r="G18" s="6">
        <f>$E$12</f>
        <v>113.40017000000002</v>
      </c>
      <c r="H18" s="6">
        <f>$F$12</f>
        <v>270.47890737999995</v>
      </c>
      <c r="J18" s="6">
        <f>$D$12</f>
        <v>48.0946</v>
      </c>
      <c r="K18" s="6">
        <f>$H$12</f>
        <v>2860.0016100000003</v>
      </c>
      <c r="L18" s="6">
        <f>$F$12</f>
        <v>270.47890737999995</v>
      </c>
    </row>
    <row r="20" spans="1:12" x14ac:dyDescent="0.25">
      <c r="A20" s="15" t="s">
        <v>16</v>
      </c>
      <c r="B20" s="7">
        <f>MDETERM(B16:D18)</f>
        <v>0.22320163420662781</v>
      </c>
      <c r="D20" s="15" t="s">
        <v>17</v>
      </c>
      <c r="E20" s="7">
        <f>B21/B20</f>
        <v>-20.939623151812985</v>
      </c>
    </row>
    <row r="21" spans="1:12" x14ac:dyDescent="0.25">
      <c r="A21" s="15" t="s">
        <v>18</v>
      </c>
      <c r="B21" s="6">
        <f>MDETERM(F16:H18)</f>
        <v>-4.6737581071555967</v>
      </c>
      <c r="D21" s="15" t="s">
        <v>19</v>
      </c>
      <c r="E21" s="7">
        <f>B22/B20</f>
        <v>37.781349593676516</v>
      </c>
    </row>
    <row r="22" spans="1:12" x14ac:dyDescent="0.25">
      <c r="A22" s="15" t="s">
        <v>20</v>
      </c>
      <c r="B22" s="7">
        <f>MDETERM(J16:L18)</f>
        <v>8.4328589718405116</v>
      </c>
      <c r="D22" s="15" t="s">
        <v>21</v>
      </c>
      <c r="E22" s="7">
        <f>B23/B20</f>
        <v>-1.5429190436889964</v>
      </c>
    </row>
    <row r="23" spans="1:12" x14ac:dyDescent="0.25">
      <c r="A23" s="15" t="s">
        <v>22</v>
      </c>
      <c r="B23" s="7">
        <f>MDETERM(A16:C18)</f>
        <v>-0.34438205199991134</v>
      </c>
    </row>
    <row r="24" spans="1:12" x14ac:dyDescent="0.25">
      <c r="A24" s="10" t="s">
        <v>23</v>
      </c>
      <c r="B24" s="10"/>
    </row>
    <row r="25" spans="1:12" x14ac:dyDescent="0.25">
      <c r="A25" s="15" t="s">
        <v>24</v>
      </c>
      <c r="B25" s="7">
        <f>SQRT(M12/J12)</f>
        <v>0.98046741652077141</v>
      </c>
    </row>
    <row r="26" spans="1:12" x14ac:dyDescent="0.25">
      <c r="A26" s="9" t="s">
        <v>25</v>
      </c>
      <c r="B26" s="9"/>
    </row>
    <row r="27" spans="1:12" x14ac:dyDescent="0.25">
      <c r="A27" s="15" t="s">
        <v>26</v>
      </c>
      <c r="B27" s="8">
        <f>(1-B25*B25)/SQRT(A10-1)</f>
        <v>1.3676733900137314E-2</v>
      </c>
    </row>
    <row r="28" spans="1:12" x14ac:dyDescent="0.25">
      <c r="A28" s="15" t="s">
        <v>27</v>
      </c>
      <c r="B28" s="7">
        <f>B25/B27</f>
        <v>71.688710453811453</v>
      </c>
    </row>
  </sheetData>
  <mergeCells count="3">
    <mergeCell ref="A15:L15"/>
    <mergeCell ref="A24:B24"/>
    <mergeCell ref="A26:B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Alex</dc:creator>
  <cp:lastModifiedBy>Bram Alex</cp:lastModifiedBy>
  <dcterms:created xsi:type="dcterms:W3CDTF">2015-06-05T18:17:20Z</dcterms:created>
  <dcterms:modified xsi:type="dcterms:W3CDTF">2026-02-16T07:15:54Z</dcterms:modified>
</cp:coreProperties>
</file>
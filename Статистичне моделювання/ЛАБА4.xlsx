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xb\OneDrive\Робочий стіл\OPFK4\Статистичне моделювання\"/>
    </mc:Choice>
  </mc:AlternateContent>
  <xr:revisionPtr revIDLastSave="0" documentId="13_ncr:1_{E90C7C33-1A34-47FB-9A39-1B3A3CE91886}" xr6:coauthVersionLast="47" xr6:coauthVersionMax="47" xr10:uidLastSave="{00000000-0000-0000-0000-000000000000}"/>
  <bookViews>
    <workbookView xWindow="7605" yWindow="4455" windowWidth="12420" windowHeight="1102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5" i="1" l="1"/>
  <c r="K23" i="1"/>
  <c r="G35" i="1"/>
  <c r="G29" i="1"/>
  <c r="C26" i="1" s="1"/>
  <c r="G23" i="1"/>
  <c r="G34" i="1"/>
  <c r="G33" i="1"/>
  <c r="G32" i="1"/>
  <c r="F28" i="1"/>
  <c r="F27" i="1"/>
  <c r="F26" i="1"/>
  <c r="E22" i="1"/>
  <c r="C22" i="1"/>
  <c r="E21" i="1"/>
  <c r="E20" i="1"/>
  <c r="F34" i="1"/>
  <c r="E34" i="1"/>
  <c r="F33" i="1"/>
  <c r="E33" i="1"/>
  <c r="F32" i="1"/>
  <c r="G28" i="1"/>
  <c r="E28" i="1"/>
  <c r="G27" i="1"/>
  <c r="E27" i="1"/>
  <c r="G26" i="1"/>
  <c r="G22" i="1"/>
  <c r="F22" i="1"/>
  <c r="G21" i="1"/>
  <c r="F21" i="1"/>
  <c r="G20" i="1"/>
  <c r="F20" i="1"/>
  <c r="K22" i="1"/>
  <c r="J22" i="1"/>
  <c r="I22" i="1"/>
  <c r="K21" i="1"/>
  <c r="J21" i="1"/>
  <c r="I21" i="1"/>
  <c r="K20" i="1"/>
  <c r="J20" i="1"/>
  <c r="C21" i="1"/>
  <c r="C20" i="1"/>
  <c r="D16" i="1"/>
  <c r="E16" i="1"/>
  <c r="F16" i="1"/>
  <c r="G16" i="1"/>
  <c r="H16" i="1"/>
  <c r="I16" i="1"/>
  <c r="J16" i="1"/>
  <c r="K16" i="1"/>
  <c r="C16" i="1"/>
  <c r="D15" i="1"/>
  <c r="E15" i="1"/>
  <c r="F15" i="1"/>
  <c r="G15" i="1"/>
  <c r="H15" i="1"/>
  <c r="I15" i="1"/>
  <c r="J15" i="1"/>
  <c r="K15" i="1"/>
  <c r="C15" i="1"/>
  <c r="K6" i="1"/>
  <c r="K7" i="1"/>
  <c r="K8" i="1"/>
  <c r="K9" i="1"/>
  <c r="K10" i="1"/>
  <c r="K11" i="1"/>
  <c r="K12" i="1"/>
  <c r="K13" i="1"/>
  <c r="K14" i="1"/>
  <c r="K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J5" i="1"/>
  <c r="H6" i="1"/>
  <c r="H7" i="1"/>
  <c r="H8" i="1"/>
  <c r="H9" i="1"/>
  <c r="H10" i="1"/>
  <c r="H11" i="1"/>
  <c r="H12" i="1"/>
  <c r="H13" i="1"/>
  <c r="H14" i="1"/>
  <c r="I5" i="1"/>
  <c r="H5" i="1"/>
  <c r="G6" i="1"/>
  <c r="G7" i="1"/>
  <c r="G8" i="1"/>
  <c r="G9" i="1"/>
  <c r="G10" i="1"/>
  <c r="G11" i="1"/>
  <c r="G12" i="1"/>
  <c r="G13" i="1"/>
  <c r="G14" i="1"/>
  <c r="G5" i="1"/>
  <c r="F6" i="1"/>
  <c r="F5" i="1"/>
  <c r="F7" i="1"/>
  <c r="F8" i="1"/>
  <c r="F9" i="1"/>
  <c r="F10" i="1"/>
  <c r="F11" i="1"/>
  <c r="F12" i="1"/>
  <c r="F13" i="1"/>
  <c r="F14" i="1"/>
  <c r="C27" i="1" l="1"/>
  <c r="L5" i="1"/>
  <c r="L6" i="1"/>
  <c r="L7" i="1"/>
  <c r="L8" i="1"/>
  <c r="L9" i="1"/>
  <c r="L10" i="1"/>
  <c r="L11" i="1"/>
  <c r="L12" i="1"/>
  <c r="L13" i="1"/>
  <c r="L14" i="1"/>
  <c r="L15" i="1" l="1"/>
  <c r="L16" i="1" s="1"/>
</calcChain>
</file>

<file path=xl/sharedStrings.xml><?xml version="1.0" encoding="utf-8"?>
<sst xmlns="http://schemas.openxmlformats.org/spreadsheetml/2006/main" count="36" uniqueCount="30">
  <si>
    <t>номер  під-ва</t>
  </si>
  <si>
    <t>1 </t>
  </si>
  <si>
    <t>2 </t>
  </si>
  <si>
    <t>3 </t>
  </si>
  <si>
    <t>4 </t>
  </si>
  <si>
    <t>5 </t>
  </si>
  <si>
    <t>6 </t>
  </si>
  <si>
    <t>7 </t>
  </si>
  <si>
    <t>8 </t>
  </si>
  <si>
    <t>9 </t>
  </si>
  <si>
    <t>10 </t>
  </si>
  <si>
    <t>Y X1</t>
  </si>
  <si>
    <t>YX2</t>
  </si>
  <si>
    <t>X1^2</t>
  </si>
  <si>
    <t>X2^2</t>
  </si>
  <si>
    <t>Y^2</t>
  </si>
  <si>
    <t>X1X2</t>
  </si>
  <si>
    <t>Y*</t>
  </si>
  <si>
    <t>Сума не (X2)</t>
  </si>
  <si>
    <t>Собівартість  одиниці ( X1)</t>
  </si>
  <si>
    <t>Середн. з/п,  грн (Y)</t>
  </si>
  <si>
    <t>середнє</t>
  </si>
  <si>
    <t>сума</t>
  </si>
  <si>
    <t>E y</t>
  </si>
  <si>
    <t>E y x1</t>
  </si>
  <si>
    <t>E y  x2</t>
  </si>
  <si>
    <t>a1</t>
  </si>
  <si>
    <t>a2</t>
  </si>
  <si>
    <t>визначник</t>
  </si>
  <si>
    <t>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</si>
</sst>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" fontId="0" fillId="0" borderId="1" xfId="0" applyNumberFormat="1" applyBorder="1"/>
    <xf numFmtId="43" fontId="4" fillId="0" borderId="2" xfId="1" applyFont="1" applyBorder="1"/>
    <xf numFmtId="0" fontId="4" fillId="0" borderId="1" xfId="0" applyFont="1" applyBorder="1"/>
    <xf numFmtId="2" fontId="4" fillId="0" borderId="1" xfId="0" applyNumberFormat="1" applyFont="1" applyBorder="1"/>
    <xf numFmtId="0" fontId="0" fillId="2" borderId="1" xfId="0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/>
    <xf numFmtId="0" fontId="0" fillId="4" borderId="1" xfId="0" applyFill="1" applyBorder="1"/>
    <xf numFmtId="0" fontId="0" fillId="4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2">
    <cellStyle name="Звичайний" xfId="0" builtinId="0"/>
    <cellStyle name="Фінансови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35"/>
  <sheetViews>
    <sheetView tabSelected="1" topLeftCell="A4" workbookViewId="0">
      <selection activeCell="I26" sqref="I26"/>
    </sheetView>
  </sheetViews>
  <sheetFormatPr defaultRowHeight="15" x14ac:dyDescent="0.25"/>
  <cols>
    <col min="1" max="1" width="7.140625" customWidth="1"/>
    <col min="2" max="2" width="11.85546875" customWidth="1"/>
    <col min="3" max="3" width="10.5703125" bestFit="1" customWidth="1"/>
    <col min="4" max="4" width="9.28515625" bestFit="1" customWidth="1"/>
    <col min="5" max="5" width="12" bestFit="1" customWidth="1"/>
    <col min="6" max="6" width="16.7109375" customWidth="1"/>
    <col min="7" max="7" width="18.140625" customWidth="1"/>
    <col min="8" max="9" width="12" bestFit="1" customWidth="1"/>
    <col min="10" max="10" width="17.85546875" customWidth="1"/>
    <col min="11" max="11" width="12" bestFit="1" customWidth="1"/>
    <col min="12" max="12" width="14.5703125" customWidth="1"/>
  </cols>
  <sheetData>
    <row r="1" spans="2:13" ht="17.25" customHeight="1" x14ac:dyDescent="0.25">
      <c r="B1" s="3" t="s">
        <v>0</v>
      </c>
      <c r="C1" s="4" t="s">
        <v>19</v>
      </c>
      <c r="D1" s="4" t="s">
        <v>18</v>
      </c>
      <c r="E1" s="4" t="s">
        <v>20</v>
      </c>
    </row>
    <row r="2" spans="2:13" x14ac:dyDescent="0.25">
      <c r="B2" s="3"/>
      <c r="C2" s="4"/>
      <c r="D2" s="4"/>
      <c r="E2" s="4"/>
    </row>
    <row r="3" spans="2:13" x14ac:dyDescent="0.25">
      <c r="B3" s="3"/>
      <c r="C3" s="4"/>
      <c r="D3" s="4"/>
      <c r="E3" s="4"/>
      <c r="F3" s="5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  <c r="M3" s="1"/>
    </row>
    <row r="4" spans="2:13" x14ac:dyDescent="0.25">
      <c r="B4" s="3"/>
      <c r="C4" s="4"/>
      <c r="D4" s="4"/>
      <c r="E4" s="4"/>
      <c r="F4" s="5"/>
      <c r="G4" s="6"/>
      <c r="H4" s="6"/>
      <c r="I4" s="6"/>
      <c r="J4" s="6"/>
      <c r="K4" s="6"/>
      <c r="L4" s="6"/>
      <c r="M4" s="1"/>
    </row>
    <row r="5" spans="2:13" ht="18.75" x14ac:dyDescent="0.3">
      <c r="B5" s="9" t="s">
        <v>1</v>
      </c>
      <c r="C5" s="8">
        <v>65.2</v>
      </c>
      <c r="D5" s="8">
        <v>44.2</v>
      </c>
      <c r="E5" s="7">
        <v>1785</v>
      </c>
      <c r="F5" s="11">
        <f>E5*C5</f>
        <v>116382</v>
      </c>
      <c r="G5" s="11">
        <f>E5*D5</f>
        <v>78897</v>
      </c>
      <c r="H5" s="12">
        <f>C5*C5</f>
        <v>4251.04</v>
      </c>
      <c r="I5" s="12">
        <f>D5*D5</f>
        <v>1953.6400000000003</v>
      </c>
      <c r="J5" s="12">
        <f>E5*E5</f>
        <v>3186225</v>
      </c>
      <c r="K5" s="12">
        <f>C5*D5</f>
        <v>2881.84</v>
      </c>
      <c r="L5" s="2">
        <f>$C$25+$C$26*C5+$C$27*D5</f>
        <v>10886.623202807827</v>
      </c>
    </row>
    <row r="6" spans="2:13" ht="18.75" x14ac:dyDescent="0.3">
      <c r="B6" s="9" t="s">
        <v>2</v>
      </c>
      <c r="C6" s="7">
        <v>7.8</v>
      </c>
      <c r="D6" s="7">
        <v>91.9</v>
      </c>
      <c r="E6" s="7">
        <v>1687</v>
      </c>
      <c r="F6" s="11">
        <f>E6*C6</f>
        <v>13158.6</v>
      </c>
      <c r="G6" s="11">
        <f t="shared" ref="G6:G14" si="0">E6*D6</f>
        <v>155035.30000000002</v>
      </c>
      <c r="H6" s="12">
        <f t="shared" ref="H6:H14" si="1">C6*C6</f>
        <v>60.839999999999996</v>
      </c>
      <c r="I6" s="12">
        <f t="shared" ref="I6:I14" si="2">D6*D6</f>
        <v>8445.61</v>
      </c>
      <c r="J6" s="12">
        <f t="shared" ref="J6:J14" si="3">E6*E6</f>
        <v>2845969</v>
      </c>
      <c r="K6" s="12">
        <f t="shared" ref="K6:K14" si="4">C6*D6</f>
        <v>716.82</v>
      </c>
      <c r="L6" s="2">
        <f t="shared" ref="L6:L14" si="5">$C$25+$C$26*C6+$C$27*D6</f>
        <v>-6.6523697283228103</v>
      </c>
    </row>
    <row r="7" spans="2:13" ht="18.75" x14ac:dyDescent="0.3">
      <c r="B7" s="9" t="s">
        <v>3</v>
      </c>
      <c r="C7" s="7">
        <v>69.5</v>
      </c>
      <c r="D7" s="7">
        <v>48.6</v>
      </c>
      <c r="E7" s="7">
        <v>1817</v>
      </c>
      <c r="F7" s="11">
        <f t="shared" ref="F7:F14" si="6">E7*C7</f>
        <v>126281.5</v>
      </c>
      <c r="G7" s="11">
        <f t="shared" si="0"/>
        <v>88306.2</v>
      </c>
      <c r="H7" s="12">
        <f t="shared" si="1"/>
        <v>4830.25</v>
      </c>
      <c r="I7" s="12">
        <f t="shared" si="2"/>
        <v>2361.96</v>
      </c>
      <c r="J7" s="12">
        <f t="shared" si="3"/>
        <v>3301489</v>
      </c>
      <c r="K7" s="12">
        <f t="shared" si="4"/>
        <v>3377.7000000000003</v>
      </c>
      <c r="L7" s="2">
        <f t="shared" si="5"/>
        <v>9942.7580170996443</v>
      </c>
    </row>
    <row r="8" spans="2:13" ht="18.75" x14ac:dyDescent="0.3">
      <c r="B8" s="9" t="s">
        <v>4</v>
      </c>
      <c r="C8" s="7">
        <v>77.7</v>
      </c>
      <c r="D8" s="7">
        <v>99.8</v>
      </c>
      <c r="E8" s="7">
        <v>1939</v>
      </c>
      <c r="F8" s="11">
        <f t="shared" si="6"/>
        <v>150660.30000000002</v>
      </c>
      <c r="G8" s="11">
        <f t="shared" si="0"/>
        <v>193512.19999999998</v>
      </c>
      <c r="H8" s="12">
        <f t="shared" si="1"/>
        <v>6037.2900000000009</v>
      </c>
      <c r="I8" s="12">
        <f t="shared" si="2"/>
        <v>9960.0399999999991</v>
      </c>
      <c r="J8" s="12">
        <f t="shared" si="3"/>
        <v>3759721</v>
      </c>
      <c r="K8" s="12">
        <f t="shared" si="4"/>
        <v>7754.46</v>
      </c>
      <c r="L8" s="2">
        <f t="shared" si="5"/>
        <v>-1306.2294915953025</v>
      </c>
    </row>
    <row r="9" spans="2:13" ht="18.75" x14ac:dyDescent="0.3">
      <c r="B9" s="9" t="s">
        <v>5</v>
      </c>
      <c r="C9" s="7">
        <v>63.5</v>
      </c>
      <c r="D9" s="7">
        <v>85.2</v>
      </c>
      <c r="E9" s="7">
        <v>1804</v>
      </c>
      <c r="F9" s="11">
        <f t="shared" si="6"/>
        <v>114554</v>
      </c>
      <c r="G9" s="11">
        <f t="shared" si="0"/>
        <v>153700.80000000002</v>
      </c>
      <c r="H9" s="12">
        <f t="shared" si="1"/>
        <v>4032.25</v>
      </c>
      <c r="I9" s="12">
        <f t="shared" si="2"/>
        <v>7259.0400000000009</v>
      </c>
      <c r="J9" s="12">
        <f t="shared" si="3"/>
        <v>3254416</v>
      </c>
      <c r="K9" s="12">
        <f t="shared" si="4"/>
        <v>5410.2</v>
      </c>
      <c r="L9" s="2">
        <f t="shared" si="5"/>
        <v>1826.1200348980783</v>
      </c>
    </row>
    <row r="10" spans="2:13" ht="18.75" x14ac:dyDescent="0.3">
      <c r="B10" s="9" t="s">
        <v>6</v>
      </c>
      <c r="C10" s="7">
        <v>69.7</v>
      </c>
      <c r="D10" s="7">
        <v>74.5</v>
      </c>
      <c r="E10" s="7">
        <v>1752</v>
      </c>
      <c r="F10" s="11">
        <f t="shared" si="6"/>
        <v>122114.40000000001</v>
      </c>
      <c r="G10" s="11">
        <f t="shared" si="0"/>
        <v>130524</v>
      </c>
      <c r="H10" s="12">
        <f t="shared" si="1"/>
        <v>4858.09</v>
      </c>
      <c r="I10" s="12">
        <f t="shared" si="2"/>
        <v>5550.25</v>
      </c>
      <c r="J10" s="12">
        <f t="shared" si="3"/>
        <v>3069504</v>
      </c>
      <c r="K10" s="12">
        <f t="shared" si="4"/>
        <v>5192.6500000000005</v>
      </c>
      <c r="L10" s="2">
        <f t="shared" si="5"/>
        <v>4227.2662678783672</v>
      </c>
    </row>
    <row r="11" spans="2:13" ht="18.75" x14ac:dyDescent="0.3">
      <c r="B11" s="9" t="s">
        <v>7</v>
      </c>
      <c r="C11" s="7">
        <v>72.5</v>
      </c>
      <c r="D11" s="7">
        <v>134.80000000000001</v>
      </c>
      <c r="E11" s="7">
        <v>1850</v>
      </c>
      <c r="F11" s="11">
        <f t="shared" si="6"/>
        <v>134125</v>
      </c>
      <c r="G11" s="11">
        <f t="shared" si="0"/>
        <v>249380.00000000003</v>
      </c>
      <c r="H11" s="12">
        <f t="shared" si="1"/>
        <v>5256.25</v>
      </c>
      <c r="I11" s="12">
        <f t="shared" si="2"/>
        <v>18171.040000000005</v>
      </c>
      <c r="J11" s="12">
        <f t="shared" si="3"/>
        <v>3422500</v>
      </c>
      <c r="K11" s="12">
        <f t="shared" si="4"/>
        <v>9773</v>
      </c>
      <c r="L11" s="2">
        <f t="shared" si="5"/>
        <v>-9064.6251832311973</v>
      </c>
    </row>
    <row r="12" spans="2:13" ht="18.75" x14ac:dyDescent="0.3">
      <c r="B12" s="9" t="s">
        <v>8</v>
      </c>
      <c r="C12" s="7">
        <v>68.2</v>
      </c>
      <c r="D12" s="7">
        <v>98.2</v>
      </c>
      <c r="E12" s="7">
        <v>1804</v>
      </c>
      <c r="F12" s="11">
        <f t="shared" si="6"/>
        <v>123032.8</v>
      </c>
      <c r="G12" s="11">
        <f t="shared" si="0"/>
        <v>177152.80000000002</v>
      </c>
      <c r="H12" s="12">
        <f t="shared" si="1"/>
        <v>4651.2400000000007</v>
      </c>
      <c r="I12" s="12">
        <f t="shared" si="2"/>
        <v>9643.24</v>
      </c>
      <c r="J12" s="12">
        <f t="shared" si="3"/>
        <v>3254416</v>
      </c>
      <c r="K12" s="12">
        <f t="shared" si="4"/>
        <v>6697.2400000000007</v>
      </c>
      <c r="L12" s="2">
        <f t="shared" si="5"/>
        <v>-1013.4335806416893</v>
      </c>
    </row>
    <row r="13" spans="2:13" ht="18.75" x14ac:dyDescent="0.3">
      <c r="B13" s="9" t="s">
        <v>9</v>
      </c>
      <c r="C13" s="7">
        <v>69.2</v>
      </c>
      <c r="D13" s="7">
        <v>97.8</v>
      </c>
      <c r="E13" s="7">
        <v>1727</v>
      </c>
      <c r="F13" s="11">
        <f t="shared" si="6"/>
        <v>119508.40000000001</v>
      </c>
      <c r="G13" s="11">
        <f t="shared" si="0"/>
        <v>168900.6</v>
      </c>
      <c r="H13" s="12">
        <f t="shared" si="1"/>
        <v>4788.6400000000003</v>
      </c>
      <c r="I13" s="12">
        <f t="shared" si="2"/>
        <v>9564.84</v>
      </c>
      <c r="J13" s="12">
        <f t="shared" si="3"/>
        <v>2982529</v>
      </c>
      <c r="K13" s="12">
        <f t="shared" si="4"/>
        <v>6767.76</v>
      </c>
      <c r="L13" s="2">
        <f t="shared" si="5"/>
        <v>-918.78979404981874</v>
      </c>
    </row>
    <row r="14" spans="2:13" ht="18.75" x14ac:dyDescent="0.3">
      <c r="B14" s="9" t="s">
        <v>10</v>
      </c>
      <c r="C14" s="7">
        <v>62.7</v>
      </c>
      <c r="D14" s="7">
        <v>78.400000000000006</v>
      </c>
      <c r="E14" s="7">
        <v>1730</v>
      </c>
      <c r="F14" s="11">
        <f t="shared" si="6"/>
        <v>108471</v>
      </c>
      <c r="G14" s="11">
        <f t="shared" si="0"/>
        <v>135632</v>
      </c>
      <c r="H14" s="12">
        <f t="shared" si="1"/>
        <v>3931.2900000000004</v>
      </c>
      <c r="I14" s="12">
        <f t="shared" si="2"/>
        <v>6146.5600000000013</v>
      </c>
      <c r="J14" s="12">
        <f t="shared" si="3"/>
        <v>2992900</v>
      </c>
      <c r="K14" s="12">
        <f t="shared" si="4"/>
        <v>4915.68</v>
      </c>
      <c r="L14" s="2">
        <f t="shared" si="5"/>
        <v>3321.9628965623197</v>
      </c>
    </row>
    <row r="15" spans="2:13" ht="18.75" x14ac:dyDescent="0.3">
      <c r="B15" s="9" t="s">
        <v>22</v>
      </c>
      <c r="C15" s="13">
        <f>SUM(C5:C14)</f>
        <v>626</v>
      </c>
      <c r="D15" s="13">
        <f t="shared" ref="D15:L15" si="7">SUM(D5:D14)</f>
        <v>853.4</v>
      </c>
      <c r="E15" s="13">
        <f t="shared" si="7"/>
        <v>17895</v>
      </c>
      <c r="F15" s="13">
        <f t="shared" si="7"/>
        <v>1128288</v>
      </c>
      <c r="G15" s="13">
        <f t="shared" si="7"/>
        <v>1531040.9000000001</v>
      </c>
      <c r="H15" s="13">
        <f t="shared" si="7"/>
        <v>42697.18</v>
      </c>
      <c r="I15" s="13">
        <f t="shared" si="7"/>
        <v>79056.22</v>
      </c>
      <c r="J15" s="13">
        <f t="shared" si="7"/>
        <v>32069669</v>
      </c>
      <c r="K15" s="13">
        <f t="shared" si="7"/>
        <v>53487.35</v>
      </c>
      <c r="L15" s="13">
        <f t="shared" si="7"/>
        <v>17894.999999999905</v>
      </c>
    </row>
    <row r="16" spans="2:13" ht="18.75" x14ac:dyDescent="0.3">
      <c r="B16" s="9" t="s">
        <v>21</v>
      </c>
      <c r="C16" s="12">
        <f>C15/10</f>
        <v>62.6</v>
      </c>
      <c r="D16" s="12">
        <f t="shared" ref="D16:L16" si="8">D15/10</f>
        <v>85.34</v>
      </c>
      <c r="E16" s="12">
        <f t="shared" si="8"/>
        <v>1789.5</v>
      </c>
      <c r="F16" s="12">
        <f t="shared" si="8"/>
        <v>112828.8</v>
      </c>
      <c r="G16" s="12">
        <f t="shared" si="8"/>
        <v>153104.09000000003</v>
      </c>
      <c r="H16" s="12">
        <f t="shared" si="8"/>
        <v>4269.7179999999998</v>
      </c>
      <c r="I16" s="12">
        <f t="shared" si="8"/>
        <v>7905.6220000000003</v>
      </c>
      <c r="J16" s="12">
        <f t="shared" si="8"/>
        <v>3206966.9</v>
      </c>
      <c r="K16" s="12">
        <f t="shared" si="8"/>
        <v>5348.7349999999997</v>
      </c>
      <c r="L16" s="12">
        <f t="shared" si="8"/>
        <v>1789.4999999999905</v>
      </c>
    </row>
    <row r="19" spans="2:11" x14ac:dyDescent="0.25">
      <c r="B19" s="14"/>
      <c r="C19" s="14"/>
      <c r="D19" s="18"/>
      <c r="E19" s="15" t="s">
        <v>29</v>
      </c>
      <c r="F19" s="16"/>
      <c r="G19" s="17"/>
      <c r="I19" s="15"/>
      <c r="J19" s="16"/>
      <c r="K19" s="17"/>
    </row>
    <row r="20" spans="2:11" x14ac:dyDescent="0.25">
      <c r="B20" s="19" t="s">
        <v>23</v>
      </c>
      <c r="C20" s="10">
        <f>E15</f>
        <v>17895</v>
      </c>
      <c r="E20" s="10">
        <f>C20</f>
        <v>17895</v>
      </c>
      <c r="F20" s="10">
        <f>$C$15</f>
        <v>626</v>
      </c>
      <c r="G20" s="10">
        <f>$D$15</f>
        <v>853.4</v>
      </c>
      <c r="I20" s="2">
        <v>10</v>
      </c>
      <c r="J20" s="10">
        <f>$C$15</f>
        <v>626</v>
      </c>
      <c r="K20" s="10">
        <f>$D$15</f>
        <v>853.4</v>
      </c>
    </row>
    <row r="21" spans="2:11" x14ac:dyDescent="0.25">
      <c r="B21" s="19" t="s">
        <v>24</v>
      </c>
      <c r="C21" s="10">
        <f>F15</f>
        <v>1128288</v>
      </c>
      <c r="E21" s="10">
        <f>C21</f>
        <v>1128288</v>
      </c>
      <c r="F21" s="10">
        <f>$H$15</f>
        <v>42697.18</v>
      </c>
      <c r="G21" s="10">
        <f>$K$15</f>
        <v>53487.35</v>
      </c>
      <c r="I21" s="10">
        <f>$C$15</f>
        <v>626</v>
      </c>
      <c r="J21" s="10">
        <f>$H$15</f>
        <v>42697.18</v>
      </c>
      <c r="K21" s="10">
        <f>$K$15</f>
        <v>53487.35</v>
      </c>
    </row>
    <row r="22" spans="2:11" x14ac:dyDescent="0.25">
      <c r="B22" s="19" t="s">
        <v>25</v>
      </c>
      <c r="C22" s="2">
        <f>G16</f>
        <v>153104.09000000003</v>
      </c>
      <c r="E22" s="10">
        <f>C22</f>
        <v>153104.09000000003</v>
      </c>
      <c r="F22" s="10">
        <f>$K$15</f>
        <v>53487.35</v>
      </c>
      <c r="G22" s="10">
        <f>$I$15</f>
        <v>79056.22</v>
      </c>
      <c r="I22" s="10">
        <f>$D$15</f>
        <v>853.4</v>
      </c>
      <c r="J22" s="10">
        <f>$K$15</f>
        <v>53487.35</v>
      </c>
      <c r="K22" s="10">
        <f>$I$15</f>
        <v>79056.22</v>
      </c>
    </row>
    <row r="23" spans="2:11" x14ac:dyDescent="0.25">
      <c r="E23" s="20" t="s">
        <v>28</v>
      </c>
      <c r="F23" s="21"/>
      <c r="G23" s="2">
        <f>MDETERM(E20:G22)</f>
        <v>4419940869299.9102</v>
      </c>
      <c r="I23" s="20" t="s">
        <v>28</v>
      </c>
      <c r="J23" s="21"/>
      <c r="K23" s="2">
        <f>MDETERM(I20:K22)</f>
        <v>218502177.33020052</v>
      </c>
    </row>
    <row r="24" spans="2:11" x14ac:dyDescent="0.25">
      <c r="B24" s="14"/>
      <c r="C24" s="14"/>
    </row>
    <row r="25" spans="2:11" x14ac:dyDescent="0.25">
      <c r="B25" s="19" t="s">
        <v>29</v>
      </c>
      <c r="C25" s="10">
        <f>G23/K23</f>
        <v>20228.360757341539</v>
      </c>
      <c r="E25" s="15" t="s">
        <v>26</v>
      </c>
      <c r="F25" s="16"/>
      <c r="G25" s="17"/>
    </row>
    <row r="26" spans="2:11" x14ac:dyDescent="0.25">
      <c r="B26" s="19" t="s">
        <v>26</v>
      </c>
      <c r="C26" s="10">
        <f>G29/K23</f>
        <v>6.354017438063944</v>
      </c>
      <c r="E26" s="2">
        <v>10</v>
      </c>
      <c r="F26" s="10">
        <f>C20</f>
        <v>17895</v>
      </c>
      <c r="G26" s="10">
        <f>$D$15</f>
        <v>853.4</v>
      </c>
    </row>
    <row r="27" spans="2:11" x14ac:dyDescent="0.25">
      <c r="B27" s="19" t="s">
        <v>27</v>
      </c>
      <c r="C27" s="2">
        <f>G35/K23</f>
        <v>-220.72442288451313</v>
      </c>
      <c r="E27" s="10">
        <f>$C$15</f>
        <v>626</v>
      </c>
      <c r="F27" s="10">
        <f>C21</f>
        <v>1128288</v>
      </c>
      <c r="G27" s="10">
        <f>$K$15</f>
        <v>53487.35</v>
      </c>
    </row>
    <row r="28" spans="2:11" x14ac:dyDescent="0.25">
      <c r="E28" s="10">
        <f>$D$15</f>
        <v>853.4</v>
      </c>
      <c r="F28" s="10">
        <f>C22</f>
        <v>153104.09000000003</v>
      </c>
      <c r="G28" s="10">
        <f>$I$15</f>
        <v>79056.22</v>
      </c>
    </row>
    <row r="29" spans="2:11" x14ac:dyDescent="0.25">
      <c r="E29" s="20" t="s">
        <v>28</v>
      </c>
      <c r="F29" s="21"/>
      <c r="G29" s="2">
        <f>MDETERM(E26:G28)</f>
        <v>1388366645.0110343</v>
      </c>
    </row>
    <row r="31" spans="2:11" x14ac:dyDescent="0.25">
      <c r="E31" s="15" t="s">
        <v>27</v>
      </c>
      <c r="F31" s="16"/>
      <c r="G31" s="17"/>
    </row>
    <row r="32" spans="2:11" x14ac:dyDescent="0.25">
      <c r="E32" s="2">
        <v>10</v>
      </c>
      <c r="F32" s="10">
        <f>$C$15</f>
        <v>626</v>
      </c>
      <c r="G32" s="10">
        <f>C20</f>
        <v>17895</v>
      </c>
    </row>
    <row r="33" spans="5:7" x14ac:dyDescent="0.25">
      <c r="E33" s="10">
        <f>$C$15</f>
        <v>626</v>
      </c>
      <c r="F33" s="10">
        <f>$H$15</f>
        <v>42697.18</v>
      </c>
      <c r="G33" s="10">
        <f>C21</f>
        <v>1128288</v>
      </c>
    </row>
    <row r="34" spans="5:7" x14ac:dyDescent="0.25">
      <c r="E34" s="10">
        <f>$D$15</f>
        <v>853.4</v>
      </c>
      <c r="F34" s="10">
        <f>$K$15</f>
        <v>53487.35</v>
      </c>
      <c r="G34" s="10">
        <f>C22</f>
        <v>153104.09000000003</v>
      </c>
    </row>
    <row r="35" spans="5:7" x14ac:dyDescent="0.25">
      <c r="E35" s="20" t="s">
        <v>28</v>
      </c>
      <c r="F35" s="21"/>
      <c r="G35" s="2">
        <f>MDETERM(E32:G34)</f>
        <v>-48228766990.218056</v>
      </c>
    </row>
  </sheetData>
  <mergeCells count="20">
    <mergeCell ref="E35:F35"/>
    <mergeCell ref="I19:K19"/>
    <mergeCell ref="I23:J23"/>
    <mergeCell ref="E19:G19"/>
    <mergeCell ref="E23:F23"/>
    <mergeCell ref="E25:G25"/>
    <mergeCell ref="E29:F29"/>
    <mergeCell ref="E31:G31"/>
    <mergeCell ref="M3:M4"/>
    <mergeCell ref="G3:G4"/>
    <mergeCell ref="H3:H4"/>
    <mergeCell ref="I3:I4"/>
    <mergeCell ref="J3:J4"/>
    <mergeCell ref="L3:L4"/>
    <mergeCell ref="K3:K4"/>
    <mergeCell ref="D1:D4"/>
    <mergeCell ref="B1:B4"/>
    <mergeCell ref="E1:E4"/>
    <mergeCell ref="C1:C4"/>
    <mergeCell ref="F3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Alex</dc:creator>
  <cp:lastModifiedBy>Bram Alex</cp:lastModifiedBy>
  <dcterms:created xsi:type="dcterms:W3CDTF">2015-06-05T18:17:20Z</dcterms:created>
  <dcterms:modified xsi:type="dcterms:W3CDTF">2026-02-18T09:04:53Z</dcterms:modified>
</cp:coreProperties>
</file>
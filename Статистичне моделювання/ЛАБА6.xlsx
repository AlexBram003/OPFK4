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b\OneDrive\Робочий стіл\OPFK4\Статистичне моделювання\"/>
    </mc:Choice>
  </mc:AlternateContent>
  <xr:revisionPtr revIDLastSave="0" documentId="13_ncr:1_{85C7A0EB-FB88-4A4B-8F4E-57C3DA5DC5AE}" xr6:coauthVersionLast="47" xr6:coauthVersionMax="47" xr10:uidLastSave="{00000000-0000-0000-0000-000000000000}"/>
  <bookViews>
    <workbookView xWindow="-120" yWindow="-120" windowWidth="29040" windowHeight="15720" xr2:uid="{B39204E4-8531-4C5C-AB0A-CB8FA035F246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D29" i="1"/>
  <c r="C12" i="1"/>
  <c r="D12" i="1"/>
  <c r="E12" i="1"/>
  <c r="F12" i="1"/>
  <c r="G12" i="1"/>
  <c r="H12" i="1"/>
  <c r="I12" i="1"/>
  <c r="J12" i="1"/>
  <c r="K12" i="1"/>
  <c r="L12" i="1"/>
  <c r="M12" i="1"/>
  <c r="O12" i="1"/>
  <c r="B12" i="1"/>
  <c r="D28" i="1"/>
  <c r="B29" i="1"/>
  <c r="C28" i="1"/>
  <c r="C29" i="1" s="1"/>
  <c r="F11" i="1"/>
  <c r="H11" i="1"/>
  <c r="J11" i="1"/>
  <c r="L11" i="1"/>
  <c r="M11" i="1"/>
  <c r="E11" i="1"/>
  <c r="G11" i="1" s="1"/>
  <c r="K11" i="1" s="1"/>
  <c r="D11" i="1"/>
  <c r="C11" i="1"/>
  <c r="D21" i="1"/>
  <c r="D22" i="1"/>
  <c r="D23" i="1"/>
  <c r="D24" i="1"/>
  <c r="D25" i="1"/>
  <c r="D26" i="1"/>
  <c r="D27" i="1"/>
  <c r="D20" i="1"/>
  <c r="C27" i="1"/>
  <c r="C21" i="1"/>
  <c r="C22" i="1"/>
  <c r="C23" i="1"/>
  <c r="C24" i="1"/>
  <c r="C25" i="1"/>
  <c r="C26" i="1"/>
  <c r="C20" i="1"/>
  <c r="O3" i="1"/>
  <c r="N3" i="1"/>
  <c r="E13" i="1"/>
  <c r="B15" i="1" s="1"/>
  <c r="B16" i="1" s="1"/>
  <c r="M5" i="1"/>
  <c r="M6" i="1"/>
  <c r="M7" i="1"/>
  <c r="M8" i="1"/>
  <c r="M9" i="1"/>
  <c r="M10" i="1"/>
  <c r="M4" i="1"/>
  <c r="F5" i="1"/>
  <c r="H5" i="1" s="1"/>
  <c r="L5" i="1" s="1"/>
  <c r="F6" i="1"/>
  <c r="J6" i="1" s="1"/>
  <c r="F7" i="1"/>
  <c r="J7" i="1" s="1"/>
  <c r="F8" i="1"/>
  <c r="J8" i="1" s="1"/>
  <c r="F9" i="1"/>
  <c r="H9" i="1" s="1"/>
  <c r="L9" i="1" s="1"/>
  <c r="F10" i="1"/>
  <c r="H10" i="1" s="1"/>
  <c r="L10" i="1" s="1"/>
  <c r="F4" i="1"/>
  <c r="E5" i="1"/>
  <c r="G5" i="1" s="1"/>
  <c r="K5" i="1" s="1"/>
  <c r="E6" i="1"/>
  <c r="I6" i="1" s="1"/>
  <c r="E7" i="1"/>
  <c r="G7" i="1" s="1"/>
  <c r="K7" i="1" s="1"/>
  <c r="E8" i="1"/>
  <c r="G8" i="1" s="1"/>
  <c r="K8" i="1" s="1"/>
  <c r="E9" i="1"/>
  <c r="I9" i="1" s="1"/>
  <c r="E10" i="1"/>
  <c r="I10" i="1" s="1"/>
  <c r="E4" i="1"/>
  <c r="I4" i="1" s="1"/>
  <c r="D5" i="1"/>
  <c r="D6" i="1"/>
  <c r="D7" i="1"/>
  <c r="D8" i="1"/>
  <c r="D9" i="1"/>
  <c r="D10" i="1"/>
  <c r="D4" i="1"/>
  <c r="C5" i="1"/>
  <c r="C6" i="1"/>
  <c r="C7" i="1"/>
  <c r="C8" i="1"/>
  <c r="C9" i="1"/>
  <c r="C10" i="1"/>
  <c r="C4" i="1"/>
  <c r="I11" i="1" l="1"/>
  <c r="H6" i="1"/>
  <c r="L6" i="1" s="1"/>
  <c r="G10" i="1"/>
  <c r="K10" i="1" s="1"/>
  <c r="G9" i="1"/>
  <c r="K9" i="1" s="1"/>
  <c r="J5" i="1"/>
  <c r="G4" i="1"/>
  <c r="B31" i="1"/>
  <c r="O4" i="1"/>
  <c r="O5" i="1" s="1"/>
  <c r="O6" i="1" s="1"/>
  <c r="O7" i="1" s="1"/>
  <c r="O8" i="1" s="1"/>
  <c r="O9" i="1" s="1"/>
  <c r="O10" i="1" s="1"/>
  <c r="O11" i="1" s="1"/>
  <c r="H8" i="1"/>
  <c r="L8" i="1" s="1"/>
  <c r="H7" i="1"/>
  <c r="L7" i="1" s="1"/>
  <c r="D13" i="1"/>
  <c r="M13" i="1"/>
  <c r="F13" i="1"/>
  <c r="C13" i="1"/>
  <c r="N4" i="1" s="1"/>
  <c r="I8" i="1"/>
  <c r="I7" i="1"/>
  <c r="K4" i="1"/>
  <c r="G6" i="1"/>
  <c r="K6" i="1" s="1"/>
  <c r="J4" i="1"/>
  <c r="I5" i="1"/>
  <c r="I13" i="1" s="1"/>
  <c r="J10" i="1"/>
  <c r="H4" i="1"/>
  <c r="J9" i="1"/>
  <c r="B32" i="1" l="1"/>
  <c r="E28" i="1" s="1"/>
  <c r="N5" i="1"/>
  <c r="N6" i="1" s="1"/>
  <c r="N7" i="1" s="1"/>
  <c r="N8" i="1" s="1"/>
  <c r="N9" i="1" s="1"/>
  <c r="N10" i="1" s="1"/>
  <c r="N11" i="1" s="1"/>
  <c r="O13" i="1"/>
  <c r="H13" i="1"/>
  <c r="L4" i="1"/>
  <c r="L13" i="1" s="1"/>
  <c r="J13" i="1"/>
  <c r="K13" i="1"/>
  <c r="G13" i="1"/>
  <c r="N12" i="1" l="1"/>
  <c r="E21" i="1"/>
  <c r="E23" i="1"/>
  <c r="E20" i="1"/>
  <c r="E27" i="1"/>
  <c r="E26" i="1"/>
  <c r="E25" i="1"/>
  <c r="E24" i="1"/>
  <c r="E22" i="1"/>
  <c r="N13" i="1"/>
  <c r="E29" i="1" l="1"/>
</calcChain>
</file>

<file path=xl/sharedStrings.xml><?xml version="1.0" encoding="utf-8"?>
<sst xmlns="http://schemas.openxmlformats.org/spreadsheetml/2006/main" count="46" uniqueCount="26">
  <si>
    <t>Місяць</t>
  </si>
  <si>
    <t>Обсяг (yi​), млн грн</t>
  </si>
  <si>
    <t>Разом</t>
  </si>
  <si>
    <t>Абсолютний приріст</t>
  </si>
  <si>
    <t>З попер.</t>
  </si>
  <si>
    <t>З місяцем 1</t>
  </si>
  <si>
    <t>-</t>
  </si>
  <si>
    <t>Середній абсолют</t>
  </si>
  <si>
    <t xml:space="preserve">Коеф. зростання </t>
  </si>
  <si>
    <t>Тр</t>
  </si>
  <si>
    <t>Тпр</t>
  </si>
  <si>
    <t>Зглажування ряду</t>
  </si>
  <si>
    <t>Дельта</t>
  </si>
  <si>
    <t>Коефіціент приросту</t>
  </si>
  <si>
    <t>Темпи прирост</t>
  </si>
  <si>
    <t>Кількість n</t>
  </si>
  <si>
    <t>Темпи зростання</t>
  </si>
  <si>
    <t>Kp</t>
  </si>
  <si>
    <t>Аналітичне зглажування ряду динаміки рівнянням прямої</t>
  </si>
  <si>
    <t>t</t>
  </si>
  <si>
    <t>t^2</t>
  </si>
  <si>
    <t>yt</t>
  </si>
  <si>
    <t>Y^</t>
  </si>
  <si>
    <t>a0</t>
  </si>
  <si>
    <t>a1</t>
  </si>
  <si>
    <t>Абсолютні значення на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</si>
</sst>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1F1F1F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1" xfId="0" applyFont="1" applyBorder="1"/>
    <xf numFmtId="2" fontId="3" fillId="0" borderId="1" xfId="0" applyNumberFormat="1" applyFont="1" applyBorder="1" applyAlignment="1">
      <alignment horizontal="center" vertical="center" wrapText="1" readingOrder="1"/>
    </xf>
    <xf numFmtId="2" fontId="4" fillId="0" borderId="1" xfId="0" applyNumberFormat="1" applyFont="1" applyBorder="1"/>
    <xf numFmtId="0" fontId="4" fillId="0" borderId="0" xfId="0" applyFont="1"/>
    <xf numFmtId="2" fontId="4" fillId="0" borderId="1" xfId="1" applyNumberFormat="1" applyFont="1" applyBorder="1"/>
    <xf numFmtId="0" fontId="4" fillId="0" borderId="1" xfId="0" applyFont="1" applyBorder="1" applyAlignment="1"/>
    <xf numFmtId="0" fontId="4" fillId="0" borderId="0" xfId="0" applyFont="1" applyBorder="1" applyAlignment="1"/>
    <xf numFmtId="0" fontId="4" fillId="0" borderId="0" xfId="0" applyFont="1" applyBorder="1"/>
    <xf numFmtId="2" fontId="4" fillId="0" borderId="0" xfId="0" applyNumberFormat="1" applyFont="1" applyBorder="1"/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2" fontId="2" fillId="3" borderId="1" xfId="0" applyNumberFormat="1" applyFont="1" applyFill="1" applyBorder="1" applyAlignment="1">
      <alignment horizontal="center" vertical="center" wrapText="1" readingOrder="1"/>
    </xf>
    <xf numFmtId="2" fontId="3" fillId="4" borderId="1" xfId="0" applyNumberFormat="1" applyFont="1" applyFill="1" applyBorder="1" applyAlignment="1">
      <alignment horizontal="center" vertical="center" wrapText="1" readingOrder="1"/>
    </xf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1" xfId="0" applyFont="1" applyFill="1" applyBorder="1" applyAlignment="1"/>
    <xf numFmtId="0" fontId="4" fillId="3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 readingOrder="1"/>
    </xf>
    <xf numFmtId="2" fontId="4" fillId="3" borderId="1" xfId="0" applyNumberFormat="1" applyFont="1" applyFill="1" applyBorder="1"/>
  </cellXfs>
  <cellStyles count="2">
    <cellStyle name="Відсотковий" xfId="1" builtinId="5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Початковий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Аркуш1!$A$3:$A$10</c:f>
              <c:numCache>
                <c:formatCode>0.00</c:formatCode>
                <c:ptCount val="8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</c:numCache>
            </c:numRef>
          </c:xVal>
          <c:yVal>
            <c:numRef>
              <c:f>Аркуш1!$B$3:$B$10</c:f>
              <c:numCache>
                <c:formatCode>0.00</c:formatCode>
                <c:ptCount val="8"/>
                <c:pt idx="0">
                  <c:v>17.2</c:v>
                </c:pt>
                <c:pt idx="1">
                  <c:v>16.899999999999999</c:v>
                </c:pt>
                <c:pt idx="2">
                  <c:v>17.399999999999999</c:v>
                </c:pt>
                <c:pt idx="3">
                  <c:v>16.7</c:v>
                </c:pt>
                <c:pt idx="4">
                  <c:v>16.600000000000001</c:v>
                </c:pt>
                <c:pt idx="5">
                  <c:v>13.7</c:v>
                </c:pt>
                <c:pt idx="6">
                  <c:v>13.3</c:v>
                </c:pt>
                <c:pt idx="7">
                  <c:v>11.5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53-4984-9529-3D965EB15106}"/>
            </c:ext>
          </c:extLst>
        </c:ser>
        <c:ser>
          <c:idx val="1"/>
          <c:order val="1"/>
          <c:tx>
            <c:v>Тренд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Аркуш1!$A$3:$A$10</c:f>
              <c:numCache>
                <c:formatCode>0.00</c:formatCode>
                <c:ptCount val="8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</c:numCache>
            </c:numRef>
          </c:xVal>
          <c:yVal>
            <c:numRef>
              <c:f>Аркуш1!$E$20:$E$27</c:f>
              <c:numCache>
                <c:formatCode>0.00</c:formatCode>
                <c:ptCount val="8"/>
                <c:pt idx="0">
                  <c:v>19.615555555555556</c:v>
                </c:pt>
                <c:pt idx="1">
                  <c:v>18.225555555555555</c:v>
                </c:pt>
                <c:pt idx="2">
                  <c:v>16.835555555555555</c:v>
                </c:pt>
                <c:pt idx="3">
                  <c:v>15.445555555555554</c:v>
                </c:pt>
                <c:pt idx="4">
                  <c:v>14.055555555555554</c:v>
                </c:pt>
                <c:pt idx="5">
                  <c:v>12.665555555555553</c:v>
                </c:pt>
                <c:pt idx="6">
                  <c:v>11.275555555555552</c:v>
                </c:pt>
                <c:pt idx="7">
                  <c:v>9.8855555555555519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53-4984-9529-3D965EB1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056464"/>
        <c:axId val="220058128"/>
      </c:scatterChart>
      <c:valAx>
        <c:axId val="22005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20058128"/>
        <c:crosses val="autoZero"/>
        <c:crossBetween val="midCat"/>
      </c:valAx>
      <c:valAx>
        <c:axId val="2200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22005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17</xdr:row>
      <xdr:rowOff>290512</xdr:rowOff>
    </xdr:from>
    <xdr:to>
      <xdr:col>13</xdr:col>
      <xdr:colOff>161925</xdr:colOff>
      <xdr:row>31</xdr:row>
      <xdr:rowOff>195262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20E98117-59B2-41CB-A76C-7D7D33C97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5FF3-E0C2-4B9F-9F1F-94AFB5AA39B9}">
  <dimension ref="A1:T42"/>
  <sheetViews>
    <sheetView tabSelected="1" zoomScaleNormal="100" workbookViewId="0">
      <selection activeCell="B15" sqref="B15"/>
    </sheetView>
  </sheetViews>
  <sheetFormatPr defaultRowHeight="15" x14ac:dyDescent="0.25"/>
  <cols>
    <col min="1" max="1" width="10.85546875" customWidth="1"/>
    <col min="2" max="2" width="11.140625" customWidth="1"/>
    <col min="3" max="3" width="11" customWidth="1"/>
    <col min="4" max="4" width="11.28515625" customWidth="1"/>
    <col min="5" max="5" width="13.140625" customWidth="1"/>
    <col min="6" max="6" width="15.140625" customWidth="1"/>
    <col min="8" max="8" width="15.140625" customWidth="1"/>
    <col min="10" max="10" width="13" customWidth="1"/>
    <col min="12" max="12" width="13.42578125" customWidth="1"/>
    <col min="13" max="13" width="17.7109375" customWidth="1"/>
    <col min="14" max="14" width="12.42578125" customWidth="1"/>
  </cols>
  <sheetData>
    <row r="1" spans="1:20" ht="31.5" customHeight="1" x14ac:dyDescent="0.25">
      <c r="A1" s="27" t="s">
        <v>0</v>
      </c>
      <c r="B1" s="27" t="s">
        <v>1</v>
      </c>
      <c r="C1" s="27" t="s">
        <v>3</v>
      </c>
      <c r="D1" s="27"/>
      <c r="E1" s="27" t="s">
        <v>8</v>
      </c>
      <c r="F1" s="27"/>
      <c r="G1" s="28" t="s">
        <v>16</v>
      </c>
      <c r="H1" s="28"/>
      <c r="I1" s="28" t="s">
        <v>13</v>
      </c>
      <c r="J1" s="28"/>
      <c r="K1" s="25" t="s">
        <v>14</v>
      </c>
      <c r="L1" s="25"/>
      <c r="M1" s="16" t="s">
        <v>25</v>
      </c>
      <c r="N1" s="25" t="s">
        <v>11</v>
      </c>
      <c r="O1" s="25"/>
      <c r="P1" s="4"/>
      <c r="Q1" s="4"/>
      <c r="R1" s="4"/>
      <c r="S1" s="4"/>
      <c r="T1" s="4"/>
    </row>
    <row r="2" spans="1:20" ht="30" customHeight="1" x14ac:dyDescent="0.25">
      <c r="A2" s="27"/>
      <c r="B2" s="27"/>
      <c r="C2" s="10" t="s">
        <v>4</v>
      </c>
      <c r="D2" s="10" t="s">
        <v>5</v>
      </c>
      <c r="E2" s="10" t="s">
        <v>4</v>
      </c>
      <c r="F2" s="10" t="s">
        <v>5</v>
      </c>
      <c r="G2" s="10" t="s">
        <v>4</v>
      </c>
      <c r="H2" s="10" t="s">
        <v>5</v>
      </c>
      <c r="I2" s="10" t="s">
        <v>4</v>
      </c>
      <c r="J2" s="10" t="s">
        <v>5</v>
      </c>
      <c r="K2" s="10" t="s">
        <v>4</v>
      </c>
      <c r="L2" s="10" t="s">
        <v>5</v>
      </c>
      <c r="M2" s="11" t="s">
        <v>4</v>
      </c>
      <c r="N2" s="17" t="s">
        <v>12</v>
      </c>
      <c r="O2" s="17" t="s">
        <v>17</v>
      </c>
      <c r="P2" s="4"/>
      <c r="Q2" s="4"/>
      <c r="R2" s="4"/>
      <c r="S2" s="4"/>
      <c r="T2" s="4"/>
    </row>
    <row r="3" spans="1:20" ht="15.75" x14ac:dyDescent="0.25">
      <c r="A3" s="2">
        <v>1986</v>
      </c>
      <c r="B3" s="29">
        <v>17.2</v>
      </c>
      <c r="C3" s="2" t="s">
        <v>6</v>
      </c>
      <c r="D3" s="2" t="s">
        <v>6</v>
      </c>
      <c r="E3" s="2" t="s">
        <v>6</v>
      </c>
      <c r="F3" s="2" t="s">
        <v>6</v>
      </c>
      <c r="G3" s="18" t="s">
        <v>6</v>
      </c>
      <c r="H3" s="18" t="s">
        <v>6</v>
      </c>
      <c r="I3" s="18" t="s">
        <v>6</v>
      </c>
      <c r="J3" s="18" t="s">
        <v>6</v>
      </c>
      <c r="K3" s="18" t="s">
        <v>6</v>
      </c>
      <c r="L3" s="18" t="s">
        <v>6</v>
      </c>
      <c r="M3" s="18" t="s">
        <v>6</v>
      </c>
      <c r="N3" s="18">
        <f>$B$3</f>
        <v>17.2</v>
      </c>
      <c r="O3" s="18">
        <f>B3</f>
        <v>17.2</v>
      </c>
      <c r="P3" s="4"/>
      <c r="Q3" s="4"/>
      <c r="R3" s="4"/>
      <c r="S3" s="4"/>
      <c r="T3" s="4"/>
    </row>
    <row r="4" spans="1:20" ht="15.75" x14ac:dyDescent="0.25">
      <c r="A4" s="2">
        <v>1987</v>
      </c>
      <c r="B4" s="2">
        <v>16.899999999999999</v>
      </c>
      <c r="C4" s="2">
        <f>B4-B3</f>
        <v>-0.30000000000000071</v>
      </c>
      <c r="D4" s="2">
        <f>B4-$B$3</f>
        <v>-0.30000000000000071</v>
      </c>
      <c r="E4" s="2">
        <f>B4/B3</f>
        <v>0.98255813953488369</v>
      </c>
      <c r="F4" s="2">
        <f>B4/$B$3</f>
        <v>0.98255813953488369</v>
      </c>
      <c r="G4" s="18">
        <f>E4*100</f>
        <v>98.255813953488371</v>
      </c>
      <c r="H4" s="18">
        <f>F4*100</f>
        <v>98.255813953488371</v>
      </c>
      <c r="I4" s="18">
        <f>E4-1</f>
        <v>-1.744186046511631E-2</v>
      </c>
      <c r="J4" s="18">
        <f>F4-1</f>
        <v>-1.744186046511631E-2</v>
      </c>
      <c r="K4" s="18">
        <f>G4-100</f>
        <v>-1.7441860465116292</v>
      </c>
      <c r="L4" s="18">
        <f>H4-100</f>
        <v>-1.7441860465116292</v>
      </c>
      <c r="M4" s="19">
        <f>B3/100</f>
        <v>0.17199999999999999</v>
      </c>
      <c r="N4" s="18">
        <f>N3+$C$13</f>
        <v>15.45</v>
      </c>
      <c r="O4" s="18">
        <f>O3*$E$13</f>
        <v>16.355906570881444</v>
      </c>
      <c r="P4" s="4"/>
      <c r="Q4" s="4"/>
      <c r="R4" s="4"/>
      <c r="S4" s="4"/>
      <c r="T4" s="4"/>
    </row>
    <row r="5" spans="1:20" ht="15.75" x14ac:dyDescent="0.25">
      <c r="A5" s="2">
        <v>1988</v>
      </c>
      <c r="B5" s="2">
        <v>17.399999999999999</v>
      </c>
      <c r="C5" s="2">
        <f t="shared" ref="C5:C11" si="0">B5-B4</f>
        <v>0.5</v>
      </c>
      <c r="D5" s="2">
        <f t="shared" ref="D5:D9" si="1">B5-$B$3</f>
        <v>0.19999999999999929</v>
      </c>
      <c r="E5" s="2">
        <f t="shared" ref="E5:E11" si="2">B5/B4</f>
        <v>1.029585798816568</v>
      </c>
      <c r="F5" s="2">
        <f t="shared" ref="F5:F10" si="3">B5/$B$3</f>
        <v>1.0116279069767442</v>
      </c>
      <c r="G5" s="18">
        <f t="shared" ref="G5:G10" si="4">E5*100</f>
        <v>102.9585798816568</v>
      </c>
      <c r="H5" s="18">
        <f t="shared" ref="H5:H10" si="5">F5*100</f>
        <v>101.16279069767442</v>
      </c>
      <c r="I5" s="18">
        <f t="shared" ref="I5:I10" si="6">E5-1</f>
        <v>2.9585798816567976E-2</v>
      </c>
      <c r="J5" s="18">
        <f t="shared" ref="J5:J10" si="7">F5-1</f>
        <v>1.1627906976744207E-2</v>
      </c>
      <c r="K5" s="18">
        <f t="shared" ref="K5:K10" si="8">G5-100</f>
        <v>2.958579881656803</v>
      </c>
      <c r="L5" s="18">
        <f t="shared" ref="L5:L10" si="9">H5-100</f>
        <v>1.1627906976744242</v>
      </c>
      <c r="M5" s="19">
        <f t="shared" ref="M5:M10" si="10">B4/100</f>
        <v>0.16899999999999998</v>
      </c>
      <c r="N5" s="18">
        <f>N4+$C$13</f>
        <v>13.7</v>
      </c>
      <c r="O5" s="18">
        <f>O4*$E$13</f>
        <v>15.553237195081559</v>
      </c>
      <c r="P5" s="4"/>
      <c r="Q5" s="4"/>
      <c r="R5" s="4"/>
      <c r="S5" s="4"/>
      <c r="T5" s="4"/>
    </row>
    <row r="6" spans="1:20" ht="15.75" x14ac:dyDescent="0.25">
      <c r="A6" s="2">
        <v>1989</v>
      </c>
      <c r="B6" s="2">
        <v>16.7</v>
      </c>
      <c r="C6" s="2">
        <f t="shared" si="0"/>
        <v>-0.69999999999999929</v>
      </c>
      <c r="D6" s="2">
        <f t="shared" si="1"/>
        <v>-0.5</v>
      </c>
      <c r="E6" s="2">
        <f t="shared" si="2"/>
        <v>0.95977011494252873</v>
      </c>
      <c r="F6" s="2">
        <f t="shared" si="3"/>
        <v>0.97093023255813948</v>
      </c>
      <c r="G6" s="18">
        <f t="shared" si="4"/>
        <v>95.977011494252878</v>
      </c>
      <c r="H6" s="18">
        <f t="shared" si="5"/>
        <v>97.093023255813947</v>
      </c>
      <c r="I6" s="18">
        <f t="shared" si="6"/>
        <v>-4.0229885057471271E-2</v>
      </c>
      <c r="J6" s="18">
        <f t="shared" si="7"/>
        <v>-2.9069767441860517E-2</v>
      </c>
      <c r="K6" s="18">
        <f t="shared" si="8"/>
        <v>-4.0229885057471222</v>
      </c>
      <c r="L6" s="18">
        <f t="shared" si="9"/>
        <v>-2.9069767441860535</v>
      </c>
      <c r="M6" s="19">
        <f t="shared" si="10"/>
        <v>0.17399999999999999</v>
      </c>
      <c r="N6" s="18">
        <f>N5+$C$13</f>
        <v>11.95</v>
      </c>
      <c r="O6" s="18">
        <f>O5*$E$13</f>
        <v>14.789958978925126</v>
      </c>
      <c r="P6" s="4"/>
      <c r="Q6" s="4"/>
      <c r="R6" s="4"/>
      <c r="S6" s="4"/>
      <c r="T6" s="4"/>
    </row>
    <row r="7" spans="1:20" ht="15.75" x14ac:dyDescent="0.25">
      <c r="A7" s="2">
        <v>1990</v>
      </c>
      <c r="B7" s="2">
        <v>16.600000000000001</v>
      </c>
      <c r="C7" s="2">
        <f t="shared" si="0"/>
        <v>-9.9999999999997868E-2</v>
      </c>
      <c r="D7" s="2">
        <f t="shared" si="1"/>
        <v>-0.59999999999999787</v>
      </c>
      <c r="E7" s="2">
        <f t="shared" si="2"/>
        <v>0.99401197604790437</v>
      </c>
      <c r="F7" s="2">
        <f t="shared" si="3"/>
        <v>0.9651162790697676</v>
      </c>
      <c r="G7" s="18">
        <f t="shared" si="4"/>
        <v>99.40119760479044</v>
      </c>
      <c r="H7" s="18">
        <f t="shared" si="5"/>
        <v>96.511627906976756</v>
      </c>
      <c r="I7" s="18">
        <f t="shared" si="6"/>
        <v>-5.9880239520956335E-3</v>
      </c>
      <c r="J7" s="18">
        <f t="shared" si="7"/>
        <v>-3.4883720930232398E-2</v>
      </c>
      <c r="K7" s="18">
        <f t="shared" si="8"/>
        <v>-0.59880239520956025</v>
      </c>
      <c r="L7" s="18">
        <f t="shared" si="9"/>
        <v>-3.4883720930232442</v>
      </c>
      <c r="M7" s="19">
        <f t="shared" si="10"/>
        <v>0.16699999999999998</v>
      </c>
      <c r="N7" s="18">
        <f>N6+$C$13</f>
        <v>10.199999999999999</v>
      </c>
      <c r="O7" s="18">
        <f>O6*$E$13</f>
        <v>14.064138793399332</v>
      </c>
      <c r="P7" s="4"/>
      <c r="Q7" s="4"/>
      <c r="R7" s="4"/>
      <c r="S7" s="4"/>
      <c r="T7" s="4"/>
    </row>
    <row r="8" spans="1:20" ht="15.75" x14ac:dyDescent="0.25">
      <c r="A8" s="2">
        <v>1991</v>
      </c>
      <c r="B8" s="2">
        <v>13.7</v>
      </c>
      <c r="C8" s="2">
        <f t="shared" si="0"/>
        <v>-2.9000000000000021</v>
      </c>
      <c r="D8" s="2">
        <f t="shared" si="1"/>
        <v>-3.5</v>
      </c>
      <c r="E8" s="2">
        <f t="shared" si="2"/>
        <v>0.82530120481927705</v>
      </c>
      <c r="F8" s="2">
        <f t="shared" si="3"/>
        <v>0.79651162790697672</v>
      </c>
      <c r="G8" s="18">
        <f t="shared" si="4"/>
        <v>82.53012048192771</v>
      </c>
      <c r="H8" s="18">
        <f t="shared" si="5"/>
        <v>79.651162790697668</v>
      </c>
      <c r="I8" s="18">
        <f t="shared" si="6"/>
        <v>-0.17469879518072295</v>
      </c>
      <c r="J8" s="18">
        <f t="shared" si="7"/>
        <v>-0.20348837209302328</v>
      </c>
      <c r="K8" s="18">
        <f t="shared" si="8"/>
        <v>-17.46987951807229</v>
      </c>
      <c r="L8" s="18">
        <f t="shared" si="9"/>
        <v>-20.348837209302332</v>
      </c>
      <c r="M8" s="19">
        <f t="shared" si="10"/>
        <v>0.16600000000000001</v>
      </c>
      <c r="N8" s="18">
        <f>N7+$C$13</f>
        <v>8.4499999999999993</v>
      </c>
      <c r="O8" s="18">
        <f>O7*$E$13</f>
        <v>13.373938378183068</v>
      </c>
      <c r="P8" s="4"/>
      <c r="Q8" s="4"/>
      <c r="R8" s="4"/>
      <c r="S8" s="4"/>
      <c r="T8" s="4"/>
    </row>
    <row r="9" spans="1:20" ht="15.75" x14ac:dyDescent="0.25">
      <c r="A9" s="2">
        <v>1992</v>
      </c>
      <c r="B9" s="2">
        <v>13.3</v>
      </c>
      <c r="C9" s="2">
        <f t="shared" si="0"/>
        <v>-0.39999999999999858</v>
      </c>
      <c r="D9" s="2">
        <f t="shared" si="1"/>
        <v>-3.8999999999999986</v>
      </c>
      <c r="E9" s="2">
        <f t="shared" si="2"/>
        <v>0.97080291970802934</v>
      </c>
      <c r="F9" s="2">
        <f t="shared" si="3"/>
        <v>0.77325581395348841</v>
      </c>
      <c r="G9" s="18">
        <f t="shared" si="4"/>
        <v>97.080291970802932</v>
      </c>
      <c r="H9" s="18">
        <f t="shared" si="5"/>
        <v>77.325581395348848</v>
      </c>
      <c r="I9" s="18">
        <f t="shared" si="6"/>
        <v>-2.9197080291970656E-2</v>
      </c>
      <c r="J9" s="18">
        <f t="shared" si="7"/>
        <v>-0.22674418604651159</v>
      </c>
      <c r="K9" s="18">
        <f t="shared" si="8"/>
        <v>-2.9197080291970678</v>
      </c>
      <c r="L9" s="18">
        <f t="shared" si="9"/>
        <v>-22.674418604651152</v>
      </c>
      <c r="M9" s="19">
        <f t="shared" si="10"/>
        <v>0.13699999999999998</v>
      </c>
      <c r="N9" s="18">
        <f>N8+$C$13</f>
        <v>6.6999999999999993</v>
      </c>
      <c r="O9" s="18">
        <f>O8*$E$13</f>
        <v>12.717609685946975</v>
      </c>
      <c r="P9" s="4"/>
      <c r="Q9" s="4"/>
      <c r="R9" s="4"/>
      <c r="S9" s="4"/>
      <c r="T9" s="4"/>
    </row>
    <row r="10" spans="1:20" ht="15.75" x14ac:dyDescent="0.25">
      <c r="A10" s="2">
        <v>1993</v>
      </c>
      <c r="B10" s="2">
        <v>11.5</v>
      </c>
      <c r="C10" s="2">
        <f t="shared" si="0"/>
        <v>-1.8000000000000007</v>
      </c>
      <c r="D10" s="2">
        <f>B10-$B$3</f>
        <v>-5.6999999999999993</v>
      </c>
      <c r="E10" s="2">
        <f t="shared" si="2"/>
        <v>0.86466165413533835</v>
      </c>
      <c r="F10" s="2">
        <f t="shared" si="3"/>
        <v>0.66860465116279078</v>
      </c>
      <c r="G10" s="18">
        <f t="shared" si="4"/>
        <v>86.46616541353383</v>
      </c>
      <c r="H10" s="18">
        <f t="shared" si="5"/>
        <v>66.860465116279073</v>
      </c>
      <c r="I10" s="18">
        <f t="shared" si="6"/>
        <v>-0.13533834586466165</v>
      </c>
      <c r="J10" s="18">
        <f t="shared" si="7"/>
        <v>-0.33139534883720922</v>
      </c>
      <c r="K10" s="18">
        <f t="shared" si="8"/>
        <v>-13.53383458646617</v>
      </c>
      <c r="L10" s="18">
        <f t="shared" si="9"/>
        <v>-33.139534883720927</v>
      </c>
      <c r="M10" s="19">
        <f t="shared" si="10"/>
        <v>0.13300000000000001</v>
      </c>
      <c r="N10" s="18">
        <f>N9+$C$13</f>
        <v>4.9499999999999993</v>
      </c>
      <c r="O10" s="18">
        <f>O9*$E$13</f>
        <v>12.093490455132887</v>
      </c>
      <c r="P10" s="4"/>
      <c r="Q10" s="4"/>
      <c r="R10" s="4"/>
      <c r="S10" s="4"/>
      <c r="T10" s="4"/>
    </row>
    <row r="11" spans="1:20" ht="15.75" x14ac:dyDescent="0.25">
      <c r="A11" s="2">
        <v>1994</v>
      </c>
      <c r="B11" s="2">
        <v>3.2</v>
      </c>
      <c r="C11" s="2">
        <f t="shared" si="0"/>
        <v>-8.3000000000000007</v>
      </c>
      <c r="D11" s="2">
        <f>B11-$B$3</f>
        <v>-14</v>
      </c>
      <c r="E11" s="2">
        <f t="shared" si="2"/>
        <v>0.27826086956521739</v>
      </c>
      <c r="F11" s="2">
        <f t="shared" ref="F11" si="11">B11/$B$3</f>
        <v>0.186046511627907</v>
      </c>
      <c r="G11" s="18">
        <f t="shared" ref="G11" si="12">E11*100</f>
        <v>27.826086956521738</v>
      </c>
      <c r="H11" s="18">
        <f t="shared" ref="H11" si="13">F11*100</f>
        <v>18.604651162790699</v>
      </c>
      <c r="I11" s="18">
        <f t="shared" ref="I11" si="14">E11-1</f>
        <v>-0.72173913043478266</v>
      </c>
      <c r="J11" s="18">
        <f t="shared" ref="J11" si="15">F11-1</f>
        <v>-0.81395348837209303</v>
      </c>
      <c r="K11" s="18">
        <f t="shared" ref="K11" si="16">G11-100</f>
        <v>-72.173913043478265</v>
      </c>
      <c r="L11" s="18">
        <f t="shared" ref="L11" si="17">H11-100</f>
        <v>-81.395348837209298</v>
      </c>
      <c r="M11" s="19">
        <f t="shared" ref="M11" si="18">B10/100</f>
        <v>0.115</v>
      </c>
      <c r="N11" s="18">
        <f>N10+$C$13</f>
        <v>3.1999999999999993</v>
      </c>
      <c r="O11" s="18">
        <f>O10*$E$13</f>
        <v>11.500000000000002</v>
      </c>
      <c r="P11" s="4"/>
      <c r="Q11" s="4"/>
      <c r="R11" s="4"/>
      <c r="S11" s="4"/>
      <c r="T11" s="4"/>
    </row>
    <row r="12" spans="1:20" ht="15.75" x14ac:dyDescent="0.25">
      <c r="A12" s="12" t="s">
        <v>2</v>
      </c>
      <c r="B12" s="13">
        <f>SUM(B3:B11)</f>
        <v>126.49999999999999</v>
      </c>
      <c r="C12" s="13">
        <f t="shared" ref="C12:O12" si="19">SUM(C3:C11)</f>
        <v>-14</v>
      </c>
      <c r="D12" s="13">
        <f t="shared" si="19"/>
        <v>-28.299999999999997</v>
      </c>
      <c r="E12" s="13">
        <f t="shared" si="19"/>
        <v>6.9049526775697476</v>
      </c>
      <c r="F12" s="13">
        <f t="shared" si="19"/>
        <v>6.3546511627906979</v>
      </c>
      <c r="G12" s="13">
        <f t="shared" si="19"/>
        <v>690.49526775697484</v>
      </c>
      <c r="H12" s="13">
        <f t="shared" si="19"/>
        <v>635.46511627906978</v>
      </c>
      <c r="I12" s="13">
        <f t="shared" si="19"/>
        <v>-1.0950473224302533</v>
      </c>
      <c r="J12" s="13">
        <f t="shared" si="19"/>
        <v>-1.6453488372093021</v>
      </c>
      <c r="K12" s="13">
        <f t="shared" si="19"/>
        <v>-109.5047322430253</v>
      </c>
      <c r="L12" s="13">
        <f t="shared" si="19"/>
        <v>-164.53488372093022</v>
      </c>
      <c r="M12" s="13">
        <f t="shared" si="19"/>
        <v>1.2329999999999999</v>
      </c>
      <c r="N12" s="13">
        <f t="shared" si="19"/>
        <v>91.800000000000011</v>
      </c>
      <c r="O12" s="13">
        <f t="shared" si="19"/>
        <v>127.64828005755041</v>
      </c>
      <c r="P12" s="4"/>
      <c r="Q12" s="4"/>
      <c r="R12" s="4"/>
      <c r="S12" s="4"/>
      <c r="T12" s="4"/>
    </row>
    <row r="13" spans="1:20" ht="32.25" customHeight="1" x14ac:dyDescent="0.25">
      <c r="A13" s="20" t="s">
        <v>7</v>
      </c>
      <c r="B13" s="21">
        <f>B12/$A$42</f>
        <v>14.055555555555554</v>
      </c>
      <c r="C13" s="21">
        <f>C12/($A$42-1)</f>
        <v>-1.75</v>
      </c>
      <c r="D13" s="21">
        <f>D12/($A$42-1)</f>
        <v>-3.5374999999999996</v>
      </c>
      <c r="E13" s="13">
        <f>(B10/B3)^(1/(A42-1))</f>
        <v>0.95092480063264218</v>
      </c>
      <c r="F13" s="13">
        <f>SUMPRODUCT(F4:F10)^1/($A$42-1)</f>
        <v>0.77107558139534882</v>
      </c>
      <c r="G13" s="21">
        <f>G12/($A$42-1)</f>
        <v>86.311908469621855</v>
      </c>
      <c r="H13" s="21">
        <f>H12/($A$42-1)</f>
        <v>79.433139534883722</v>
      </c>
      <c r="I13" s="21">
        <f>I12/($A$42-1)</f>
        <v>-0.13688091530378166</v>
      </c>
      <c r="J13" s="21">
        <f>J12/($A$42-1)</f>
        <v>-0.20566860465116277</v>
      </c>
      <c r="K13" s="21">
        <f t="shared" ref="K13:M13" si="20">K12/($A$42-1)</f>
        <v>-13.688091530378163</v>
      </c>
      <c r="L13" s="21">
        <f t="shared" si="20"/>
        <v>-20.566860465116278</v>
      </c>
      <c r="M13" s="21">
        <f t="shared" si="20"/>
        <v>0.15412499999999998</v>
      </c>
      <c r="N13" s="21">
        <f>N12/($A$42)</f>
        <v>10.200000000000001</v>
      </c>
      <c r="O13" s="21">
        <f>O12/($A$42)</f>
        <v>14.183142228616711</v>
      </c>
      <c r="P13" s="4"/>
      <c r="Q13" s="4"/>
      <c r="R13" s="4"/>
      <c r="S13" s="4"/>
      <c r="T13" s="4"/>
    </row>
    <row r="14" spans="1:20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5.75" x14ac:dyDescent="0.25">
      <c r="A15" s="24" t="s">
        <v>9</v>
      </c>
      <c r="B15" s="1">
        <f>E13*100</f>
        <v>95.092480063264219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5.75" x14ac:dyDescent="0.25">
      <c r="A16" s="24" t="s">
        <v>10</v>
      </c>
      <c r="B16" s="5">
        <f>B15-100</f>
        <v>-4.9075199367357811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5.7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34.5" customHeight="1" x14ac:dyDescent="0.25">
      <c r="A18" s="6"/>
      <c r="B18" s="26" t="s">
        <v>18</v>
      </c>
      <c r="C18" s="26"/>
      <c r="D18" s="26"/>
      <c r="E18" s="26"/>
      <c r="F18" s="26"/>
      <c r="G18" s="4"/>
      <c r="H18" s="4"/>
      <c r="I18" s="4"/>
      <c r="J18" s="4"/>
      <c r="K18" s="4"/>
      <c r="L18" s="4"/>
      <c r="M18" s="4"/>
      <c r="N18" s="14"/>
      <c r="O18" s="14"/>
      <c r="P18" s="14"/>
      <c r="Q18" s="14"/>
      <c r="R18" s="4"/>
      <c r="S18" s="4"/>
      <c r="T18" s="4"/>
    </row>
    <row r="19" spans="1:20" ht="15.75" x14ac:dyDescent="0.25">
      <c r="A19" s="22"/>
      <c r="B19" s="22" t="s">
        <v>19</v>
      </c>
      <c r="C19" s="22" t="s">
        <v>20</v>
      </c>
      <c r="D19" s="23" t="s">
        <v>21</v>
      </c>
      <c r="E19" s="23" t="s">
        <v>22</v>
      </c>
      <c r="F19" s="22"/>
      <c r="G19" s="4"/>
      <c r="H19" s="4"/>
      <c r="I19" s="4"/>
      <c r="J19" s="4"/>
      <c r="K19" s="4"/>
      <c r="L19" s="4"/>
      <c r="M19" s="4"/>
      <c r="N19" s="4"/>
      <c r="O19" s="8"/>
      <c r="P19" s="7"/>
      <c r="Q19" s="7"/>
      <c r="R19" s="4"/>
      <c r="S19" s="4"/>
      <c r="T19" s="4"/>
    </row>
    <row r="20" spans="1:20" ht="15.75" x14ac:dyDescent="0.25">
      <c r="A20" s="24">
        <v>1</v>
      </c>
      <c r="B20" s="1">
        <v>-4</v>
      </c>
      <c r="C20" s="1">
        <f>B20^2</f>
        <v>16</v>
      </c>
      <c r="D20" s="3">
        <f>B3*B20</f>
        <v>-68.8</v>
      </c>
      <c r="E20" s="3">
        <f>$B$31+$B$32*B20</f>
        <v>19.615555555555556</v>
      </c>
      <c r="F20" s="1"/>
      <c r="G20" s="4"/>
      <c r="H20" s="4"/>
      <c r="I20" s="4"/>
      <c r="J20" s="4"/>
      <c r="K20" s="4"/>
      <c r="L20" s="4"/>
      <c r="M20" s="4"/>
      <c r="N20" s="4"/>
      <c r="O20" s="8"/>
      <c r="P20" s="9"/>
      <c r="Q20" s="9"/>
      <c r="R20" s="4"/>
      <c r="S20" s="4"/>
      <c r="T20" s="4"/>
    </row>
    <row r="21" spans="1:20" ht="15.75" x14ac:dyDescent="0.25">
      <c r="A21" s="24">
        <v>2</v>
      </c>
      <c r="B21" s="1">
        <v>-3</v>
      </c>
      <c r="C21" s="1">
        <f t="shared" ref="C21:C26" si="21">B21^2</f>
        <v>9</v>
      </c>
      <c r="D21" s="3">
        <f>B4*B21</f>
        <v>-50.699999999999996</v>
      </c>
      <c r="E21" s="3">
        <f t="shared" ref="E21:E28" si="22">$B$31+$B$32*B21</f>
        <v>18.225555555555555</v>
      </c>
      <c r="F21" s="1"/>
      <c r="G21" s="4"/>
      <c r="H21" s="4"/>
      <c r="I21" s="4"/>
      <c r="J21" s="4"/>
      <c r="K21" s="4"/>
      <c r="L21" s="4"/>
      <c r="M21" s="4"/>
      <c r="N21" s="4"/>
      <c r="O21" s="8"/>
      <c r="P21" s="9"/>
      <c r="Q21" s="9"/>
      <c r="R21" s="4"/>
      <c r="S21" s="4"/>
      <c r="T21" s="4"/>
    </row>
    <row r="22" spans="1:20" ht="15.75" x14ac:dyDescent="0.25">
      <c r="A22" s="24">
        <v>3</v>
      </c>
      <c r="B22" s="1">
        <v>-2</v>
      </c>
      <c r="C22" s="1">
        <f t="shared" si="21"/>
        <v>4</v>
      </c>
      <c r="D22" s="3">
        <f>B5*B22</f>
        <v>-34.799999999999997</v>
      </c>
      <c r="E22" s="3">
        <f t="shared" si="22"/>
        <v>16.835555555555555</v>
      </c>
      <c r="F22" s="1"/>
      <c r="G22" s="4"/>
      <c r="H22" s="4"/>
      <c r="I22" s="4"/>
      <c r="J22" s="4"/>
      <c r="K22" s="4"/>
      <c r="L22" s="4"/>
      <c r="M22" s="4"/>
      <c r="N22" s="4"/>
      <c r="O22" s="8"/>
      <c r="P22" s="9"/>
      <c r="Q22" s="9"/>
      <c r="R22" s="4"/>
      <c r="S22" s="4"/>
      <c r="T22" s="4"/>
    </row>
    <row r="23" spans="1:20" ht="15.75" x14ac:dyDescent="0.25">
      <c r="A23" s="24">
        <v>4</v>
      </c>
      <c r="B23" s="1">
        <v>-1</v>
      </c>
      <c r="C23" s="1">
        <f t="shared" si="21"/>
        <v>1</v>
      </c>
      <c r="D23" s="3">
        <f>B6*B23</f>
        <v>-16.7</v>
      </c>
      <c r="E23" s="3">
        <f t="shared" si="22"/>
        <v>15.445555555555554</v>
      </c>
      <c r="F23" s="1"/>
      <c r="G23" s="4"/>
      <c r="H23" s="4"/>
      <c r="I23" s="4"/>
      <c r="J23" s="4"/>
      <c r="K23" s="4"/>
      <c r="L23" s="4"/>
      <c r="M23" s="4"/>
      <c r="N23" s="4"/>
      <c r="O23" s="8"/>
      <c r="P23" s="9"/>
      <c r="Q23" s="9"/>
      <c r="R23" s="4"/>
      <c r="S23" s="4"/>
      <c r="T23" s="4"/>
    </row>
    <row r="24" spans="1:20" ht="15.75" x14ac:dyDescent="0.25">
      <c r="A24" s="24">
        <v>5</v>
      </c>
      <c r="B24" s="1">
        <v>0</v>
      </c>
      <c r="C24" s="1">
        <f t="shared" si="21"/>
        <v>0</v>
      </c>
      <c r="D24" s="3">
        <f>B7*B24</f>
        <v>0</v>
      </c>
      <c r="E24" s="3">
        <f t="shared" si="22"/>
        <v>14.055555555555554</v>
      </c>
      <c r="F24" s="1"/>
      <c r="G24" s="4"/>
      <c r="H24" s="4"/>
      <c r="I24" s="4"/>
      <c r="J24" s="4"/>
      <c r="K24" s="4"/>
      <c r="L24" s="4"/>
      <c r="M24" s="4"/>
      <c r="N24" s="4"/>
      <c r="O24" s="8"/>
      <c r="P24" s="9"/>
      <c r="Q24" s="9"/>
      <c r="R24" s="4"/>
      <c r="S24" s="4"/>
      <c r="T24" s="4"/>
    </row>
    <row r="25" spans="1:20" ht="15.75" x14ac:dyDescent="0.25">
      <c r="A25" s="24">
        <v>6</v>
      </c>
      <c r="B25" s="1">
        <v>1</v>
      </c>
      <c r="C25" s="1">
        <f t="shared" si="21"/>
        <v>1</v>
      </c>
      <c r="D25" s="3">
        <f>B8*B25</f>
        <v>13.7</v>
      </c>
      <c r="E25" s="3">
        <f t="shared" si="22"/>
        <v>12.665555555555553</v>
      </c>
      <c r="F25" s="1"/>
      <c r="G25" s="4"/>
      <c r="H25" s="4"/>
      <c r="I25" s="4"/>
      <c r="J25" s="4"/>
      <c r="K25" s="4"/>
      <c r="L25" s="4"/>
      <c r="M25" s="4"/>
      <c r="N25" s="4"/>
      <c r="O25" s="8"/>
      <c r="P25" s="9"/>
      <c r="Q25" s="9"/>
      <c r="R25" s="4"/>
      <c r="S25" s="4"/>
      <c r="T25" s="4"/>
    </row>
    <row r="26" spans="1:20" ht="15.75" x14ac:dyDescent="0.25">
      <c r="A26" s="24">
        <v>7</v>
      </c>
      <c r="B26" s="1">
        <v>2</v>
      </c>
      <c r="C26" s="1">
        <f t="shared" si="21"/>
        <v>4</v>
      </c>
      <c r="D26" s="3">
        <f>B9*B26</f>
        <v>26.6</v>
      </c>
      <c r="E26" s="3">
        <f t="shared" si="22"/>
        <v>11.275555555555552</v>
      </c>
      <c r="F26" s="1"/>
      <c r="G26" s="4"/>
      <c r="H26" s="4"/>
      <c r="I26" s="4"/>
      <c r="J26" s="4"/>
      <c r="K26" s="4"/>
      <c r="L26" s="4"/>
      <c r="M26" s="4"/>
      <c r="N26" s="4"/>
      <c r="O26" s="8"/>
      <c r="P26" s="9"/>
      <c r="Q26" s="9"/>
      <c r="R26" s="4"/>
      <c r="S26" s="4"/>
      <c r="T26" s="4"/>
    </row>
    <row r="27" spans="1:20" ht="15.75" x14ac:dyDescent="0.25">
      <c r="A27" s="24">
        <v>8</v>
      </c>
      <c r="B27" s="1">
        <v>3</v>
      </c>
      <c r="C27" s="1">
        <f>B27^2</f>
        <v>9</v>
      </c>
      <c r="D27" s="3">
        <f>B10*B27</f>
        <v>34.5</v>
      </c>
      <c r="E27" s="3">
        <f t="shared" si="22"/>
        <v>9.8855555555555519</v>
      </c>
      <c r="F27" s="1"/>
      <c r="G27" s="4"/>
      <c r="H27" s="4"/>
      <c r="I27" s="4"/>
      <c r="J27" s="4"/>
      <c r="K27" s="4"/>
      <c r="L27" s="4"/>
      <c r="M27" s="4"/>
      <c r="N27" s="4"/>
      <c r="O27" s="8"/>
      <c r="P27" s="9"/>
      <c r="Q27" s="9"/>
      <c r="R27" s="4"/>
      <c r="S27" s="4"/>
      <c r="T27" s="4"/>
    </row>
    <row r="28" spans="1:20" ht="15.75" x14ac:dyDescent="0.25">
      <c r="A28" s="24">
        <v>9</v>
      </c>
      <c r="B28" s="1">
        <v>4</v>
      </c>
      <c r="C28" s="1">
        <f>B28^2</f>
        <v>16</v>
      </c>
      <c r="D28" s="3">
        <f>B11*B28</f>
        <v>12.8</v>
      </c>
      <c r="E28" s="3">
        <f t="shared" si="22"/>
        <v>8.4955555555555513</v>
      </c>
      <c r="F28" s="1"/>
      <c r="G28" s="4"/>
      <c r="H28" s="4"/>
      <c r="I28" s="4"/>
      <c r="J28" s="4"/>
      <c r="K28" s="4"/>
      <c r="L28" s="4"/>
      <c r="M28" s="4"/>
      <c r="N28" s="4"/>
      <c r="O28" s="8"/>
      <c r="P28" s="9"/>
      <c r="Q28" s="9"/>
      <c r="R28" s="4"/>
      <c r="S28" s="4"/>
      <c r="T28" s="4"/>
    </row>
    <row r="29" spans="1:20" ht="15.75" x14ac:dyDescent="0.25">
      <c r="A29" s="24" t="s">
        <v>2</v>
      </c>
      <c r="B29" s="24">
        <f>SUM(B20:B28)</f>
        <v>0</v>
      </c>
      <c r="C29" s="24">
        <f>SUM(C20:C28)</f>
        <v>60</v>
      </c>
      <c r="D29" s="30">
        <f>SUM(D20:D28)</f>
        <v>-83.40000000000002</v>
      </c>
      <c r="E29" s="24">
        <f>SUM(E20:E28)</f>
        <v>126.5</v>
      </c>
      <c r="F29" s="2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15.7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15.75" x14ac:dyDescent="0.25">
      <c r="A31" s="24" t="s">
        <v>23</v>
      </c>
      <c r="B31" s="1">
        <f>B12/A42</f>
        <v>14.055555555555554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15.75" x14ac:dyDescent="0.25">
      <c r="A32" s="24" t="s">
        <v>24</v>
      </c>
      <c r="B32" s="1">
        <f>D29/C29</f>
        <v>-1.3900000000000003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15.7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15.7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ht="15.7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5.7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5.7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5.7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5.7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5.7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ht="15.75" x14ac:dyDescent="0.25">
      <c r="A41" s="15" t="s">
        <v>15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5.75" x14ac:dyDescent="0.25">
      <c r="A42" s="15">
        <v>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</sheetData>
  <mergeCells count="9">
    <mergeCell ref="A1:A2"/>
    <mergeCell ref="E1:F1"/>
    <mergeCell ref="G1:H1"/>
    <mergeCell ref="I1:J1"/>
    <mergeCell ref="N1:O1"/>
    <mergeCell ref="B18:F18"/>
    <mergeCell ref="K1:L1"/>
    <mergeCell ref="C1:D1"/>
    <mergeCell ref="B1:B2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1111</dc:creator>
  <cp:lastModifiedBy>Bram Alex</cp:lastModifiedBy>
  <dcterms:created xsi:type="dcterms:W3CDTF">2026-02-26T07:58:01Z</dcterms:created>
  <dcterms:modified xsi:type="dcterms:W3CDTF">2026-03-02T08:58:39Z</dcterms:modified>
</cp:coreProperties>
</file>
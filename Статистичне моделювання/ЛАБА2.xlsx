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b\OneDrive\Робочий стіл\Коледж\4 курс\Статистичне моделювання\"/>
    </mc:Choice>
  </mc:AlternateContent>
  <xr:revisionPtr revIDLastSave="0" documentId="13_ncr:1_{BAE6882C-7638-47E5-AF85-D5EB9A301061}" xr6:coauthVersionLast="47" xr6:coauthVersionMax="47" xr10:uidLastSave="{00000000-0000-0000-0000-000000000000}"/>
  <bookViews>
    <workbookView xWindow="6225" yWindow="3240" windowWidth="12420" windowHeight="1102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J9" i="1"/>
  <c r="J7" i="1"/>
  <c r="C12" i="1"/>
  <c r="C11" i="1"/>
  <c r="B11" i="1"/>
  <c r="B12" i="1" s="1"/>
  <c r="L9" i="1" s="1"/>
  <c r="G9" i="1"/>
  <c r="H9" i="1" s="1"/>
  <c r="F9" i="1"/>
  <c r="E9" i="1"/>
  <c r="D9" i="1"/>
  <c r="G10" i="1"/>
  <c r="H10" i="1" s="1"/>
  <c r="F10" i="1"/>
  <c r="E10" i="1"/>
  <c r="D10" i="1"/>
  <c r="G7" i="1"/>
  <c r="H7" i="1" s="1"/>
  <c r="F7" i="1"/>
  <c r="E7" i="1"/>
  <c r="D7" i="1"/>
  <c r="G6" i="1"/>
  <c r="H6" i="1" s="1"/>
  <c r="F6" i="1"/>
  <c r="E6" i="1"/>
  <c r="D6" i="1"/>
  <c r="G3" i="1"/>
  <c r="H3" i="1" s="1"/>
  <c r="F3" i="1"/>
  <c r="E3" i="1"/>
  <c r="D3" i="1"/>
  <c r="G5" i="1"/>
  <c r="H5" i="1" s="1"/>
  <c r="F5" i="1"/>
  <c r="E5" i="1"/>
  <c r="D5" i="1"/>
  <c r="G8" i="1"/>
  <c r="H8" i="1" s="1"/>
  <c r="F8" i="1"/>
  <c r="E8" i="1"/>
  <c r="D8" i="1"/>
  <c r="G2" i="1"/>
  <c r="H2" i="1" s="1"/>
  <c r="F2" i="1"/>
  <c r="E2" i="1"/>
  <c r="D2" i="1"/>
  <c r="G4" i="1"/>
  <c r="H4" i="1" s="1"/>
  <c r="F4" i="1"/>
  <c r="E4" i="1"/>
  <c r="D4" i="1"/>
  <c r="D11" i="1" l="1"/>
  <c r="D12" i="1" s="1"/>
  <c r="E11" i="1"/>
  <c r="E12" i="1" s="1"/>
  <c r="L5" i="1" s="1"/>
  <c r="H11" i="1"/>
  <c r="F11" i="1"/>
  <c r="F12" i="1" s="1"/>
  <c r="J4" i="1" s="1"/>
  <c r="L8" i="1" s="1"/>
  <c r="G11" i="1"/>
  <c r="G12" i="1" s="1"/>
  <c r="J3" i="1" l="1"/>
  <c r="L4" i="1"/>
  <c r="H12" i="1"/>
  <c r="J5" i="1" s="1"/>
  <c r="J6" i="1" l="1"/>
  <c r="L2" i="1"/>
  <c r="L1" i="1"/>
</calcChain>
</file>

<file path=xl/sharedStrings.xml><?xml version="1.0" encoding="utf-8"?>
<sst xmlns="http://schemas.openxmlformats.org/spreadsheetml/2006/main" count="37" uniqueCount="36">
  <si>
    <t>№</t>
  </si>
  <si>
    <t>x</t>
  </si>
  <si>
    <t>Y</t>
  </si>
  <si>
    <t>XY</t>
  </si>
  <si>
    <t>X^2</t>
  </si>
  <si>
    <t>Y^2</t>
  </si>
  <si>
    <t>y*</t>
  </si>
  <si>
    <t>(y-y*)^2</t>
  </si>
  <si>
    <t>3 </t>
  </si>
  <si>
    <t>1 </t>
  </si>
  <si>
    <t>7 </t>
  </si>
  <si>
    <t>4 </t>
  </si>
  <si>
    <t>2 </t>
  </si>
  <si>
    <t>5 </t>
  </si>
  <si>
    <t>6 </t>
  </si>
  <si>
    <t>9 </t>
  </si>
  <si>
    <t>8 </t>
  </si>
  <si>
    <t>Разом</t>
  </si>
  <si>
    <t>a0</t>
  </si>
  <si>
    <t>a1</t>
  </si>
  <si>
    <t>середнє</t>
  </si>
  <si>
    <t>r</t>
  </si>
  <si>
    <t>R</t>
  </si>
  <si>
    <t>Сзаг^2</t>
  </si>
  <si>
    <t>Cy*^2</t>
  </si>
  <si>
    <t>Ce*^2</t>
  </si>
  <si>
    <t>k1,k7</t>
  </si>
  <si>
    <t>R^2</t>
  </si>
  <si>
    <t>Fфакт</t>
  </si>
  <si>
    <t>Cзаг</t>
  </si>
  <si>
    <t>Cx</t>
  </si>
  <si>
    <t>ta1</t>
  </si>
  <si>
    <t>ta0</t>
  </si>
  <si>
    <t>k1</t>
  </si>
  <si>
    <t>k2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</si>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</sst>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164" fontId="0" fillId="0" borderId="1" xfId="1" applyNumberFormat="1" applyFont="1" applyBorder="1"/>
    <xf numFmtId="2" fontId="0" fillId="2" borderId="1" xfId="0" applyNumberFormat="1" applyFill="1" applyBorder="1"/>
    <xf numFmtId="2" fontId="0" fillId="0" borderId="0" xfId="0" applyNumberFormat="1"/>
    <xf numFmtId="2" fontId="0" fillId="2" borderId="0" xfId="0" applyNumberFormat="1" applyFill="1"/>
    <xf numFmtId="0" fontId="0" fillId="2" borderId="1" xfId="0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0" fillId="4" borderId="1" xfId="0" applyFill="1" applyBorder="1"/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[1]Sheet1!$B$2:$B$10</c:f>
              <c:numCache>
                <c:formatCode>General</c:formatCode>
                <c:ptCount val="9"/>
                <c:pt idx="0">
                  <c:v>1.3</c:v>
                </c:pt>
                <c:pt idx="1">
                  <c:v>1.7</c:v>
                </c:pt>
                <c:pt idx="2">
                  <c:v>1.7</c:v>
                </c:pt>
                <c:pt idx="3">
                  <c:v>2</c:v>
                </c:pt>
                <c:pt idx="4">
                  <c:v>2.1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2.8</c:v>
                </c:pt>
              </c:numCache>
            </c:numRef>
          </c:xVal>
          <c:yVal>
            <c:numRef>
              <c:f>[1]Sheet1!$C$2:$C$10</c:f>
              <c:numCache>
                <c:formatCode>General</c:formatCode>
                <c:ptCount val="9"/>
                <c:pt idx="0">
                  <c:v>1.7</c:v>
                </c:pt>
                <c:pt idx="1">
                  <c:v>1.6</c:v>
                </c:pt>
                <c:pt idx="2">
                  <c:v>1.4</c:v>
                </c:pt>
                <c:pt idx="3">
                  <c:v>1.8</c:v>
                </c:pt>
                <c:pt idx="4">
                  <c:v>1.9</c:v>
                </c:pt>
                <c:pt idx="5">
                  <c:v>1.9</c:v>
                </c:pt>
                <c:pt idx="6">
                  <c:v>2</c:v>
                </c:pt>
                <c:pt idx="7">
                  <c:v>2.1</c:v>
                </c:pt>
                <c:pt idx="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5-4C05-A257-BF6286BAD8FE}"/>
            </c:ext>
          </c:extLst>
        </c:ser>
        <c:ser>
          <c:idx val="1"/>
          <c:order val="1"/>
          <c:tx>
            <c:v>YY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[1]Sheet1!$B$2:$B$10</c:f>
              <c:numCache>
                <c:formatCode>General</c:formatCode>
                <c:ptCount val="9"/>
                <c:pt idx="0">
                  <c:v>1.3</c:v>
                </c:pt>
                <c:pt idx="1">
                  <c:v>1.7</c:v>
                </c:pt>
                <c:pt idx="2">
                  <c:v>1.7</c:v>
                </c:pt>
                <c:pt idx="3">
                  <c:v>2</c:v>
                </c:pt>
                <c:pt idx="4">
                  <c:v>2.1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2.8</c:v>
                </c:pt>
              </c:numCache>
            </c:numRef>
          </c:xVal>
          <c:yVal>
            <c:numRef>
              <c:f>[1]Sheet1!$G$2:$G$10</c:f>
              <c:numCache>
                <c:formatCode>General</c:formatCode>
                <c:ptCount val="9"/>
                <c:pt idx="0">
                  <c:v>1.4430000000000001</c:v>
                </c:pt>
                <c:pt idx="1">
                  <c:v>1.647</c:v>
                </c:pt>
                <c:pt idx="2">
                  <c:v>1.647</c:v>
                </c:pt>
                <c:pt idx="3">
                  <c:v>1.8</c:v>
                </c:pt>
                <c:pt idx="4">
                  <c:v>1.8510000000000002</c:v>
                </c:pt>
                <c:pt idx="5">
                  <c:v>1.9529999999999998</c:v>
                </c:pt>
                <c:pt idx="6">
                  <c:v>2.0549999999999997</c:v>
                </c:pt>
                <c:pt idx="7">
                  <c:v>2.1059999999999999</c:v>
                </c:pt>
                <c:pt idx="8">
                  <c:v>2.2080000000000002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5-4C05-A257-BF6286BAD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26272"/>
        <c:axId val="2049228352"/>
      </c:scatterChart>
      <c:valAx>
        <c:axId val="204922627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49228352"/>
        <c:crosses val="autoZero"/>
        <c:crossBetween val="midCat"/>
      </c:valAx>
      <c:valAx>
        <c:axId val="20492283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04922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190500</xdr:rowOff>
    </xdr:from>
    <xdr:to>
      <xdr:col>8</xdr:col>
      <xdr:colOff>0</xdr:colOff>
      <xdr:row>27</xdr:row>
      <xdr:rowOff>190500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A063CAF3-2397-4E08-9D9F-84EF1C063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40;&#1041;&#1040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1.3</v>
          </cell>
          <cell r="C2">
            <v>1.7</v>
          </cell>
          <cell r="G2">
            <v>1.4430000000000001</v>
          </cell>
        </row>
        <row r="3">
          <cell r="B3">
            <v>1.7</v>
          </cell>
          <cell r="C3">
            <v>1.6</v>
          </cell>
          <cell r="G3">
            <v>1.647</v>
          </cell>
        </row>
        <row r="4">
          <cell r="B4">
            <v>1.7</v>
          </cell>
          <cell r="C4">
            <v>1.4</v>
          </cell>
          <cell r="G4">
            <v>1.647</v>
          </cell>
        </row>
        <row r="5">
          <cell r="B5">
            <v>2</v>
          </cell>
          <cell r="C5">
            <v>1.8</v>
          </cell>
          <cell r="G5">
            <v>1.8</v>
          </cell>
        </row>
        <row r="6">
          <cell r="B6">
            <v>2.1</v>
          </cell>
          <cell r="C6">
            <v>1.9</v>
          </cell>
          <cell r="G6">
            <v>1.8510000000000002</v>
          </cell>
        </row>
        <row r="7">
          <cell r="B7">
            <v>2.2999999999999998</v>
          </cell>
          <cell r="C7">
            <v>1.9</v>
          </cell>
          <cell r="G7">
            <v>1.9529999999999998</v>
          </cell>
        </row>
        <row r="8">
          <cell r="B8">
            <v>2.5</v>
          </cell>
          <cell r="C8">
            <v>2</v>
          </cell>
          <cell r="G8">
            <v>2.0549999999999997</v>
          </cell>
        </row>
        <row r="9">
          <cell r="B9">
            <v>2.6</v>
          </cell>
          <cell r="C9">
            <v>2.1</v>
          </cell>
          <cell r="G9">
            <v>2.1059999999999999</v>
          </cell>
        </row>
        <row r="10">
          <cell r="B10">
            <v>2.8</v>
          </cell>
          <cell r="C10">
            <v>2.4</v>
          </cell>
          <cell r="G10">
            <v>2.2080000000000002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Normal="100" workbookViewId="0">
      <selection activeCell="J10" sqref="J10"/>
    </sheetView>
  </sheetViews>
  <sheetFormatPr defaultRowHeight="15" x14ac:dyDescent="0.25"/>
  <sheetData>
    <row r="1" spans="1: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6" t="s">
        <v>18</v>
      </c>
      <c r="J1" s="4">
        <v>0.78</v>
      </c>
      <c r="K1" s="12" t="s">
        <v>32</v>
      </c>
      <c r="L1" s="1">
        <f>J1*(SQRT(9-2)/L4)</f>
        <v>14.824810372488608</v>
      </c>
    </row>
    <row r="2" spans="1:12" ht="15.75" x14ac:dyDescent="0.25">
      <c r="A2" s="2" t="s">
        <v>9</v>
      </c>
      <c r="B2" s="3">
        <v>1.7</v>
      </c>
      <c r="C2" s="3">
        <v>1.6</v>
      </c>
      <c r="D2" s="4">
        <f t="shared" ref="D2:D10" si="0">B2*C2</f>
        <v>2.72</v>
      </c>
      <c r="E2" s="4">
        <f t="shared" ref="E2:E10" si="1">B2*B2</f>
        <v>2.8899999999999997</v>
      </c>
      <c r="F2" s="4">
        <f t="shared" ref="F2:F10" si="2">C2*C2</f>
        <v>2.5600000000000005</v>
      </c>
      <c r="G2" s="4">
        <f t="shared" ref="G2:G10" si="3">0.78+0.51*B2</f>
        <v>1.647</v>
      </c>
      <c r="H2" s="5">
        <f t="shared" ref="H2:H10" si="4">(C2-G2)*(C2-G2)</f>
        <v>2.2089999999999935E-3</v>
      </c>
      <c r="I2" s="11" t="s">
        <v>19</v>
      </c>
      <c r="J2" s="4">
        <v>0.51</v>
      </c>
      <c r="K2" s="12" t="s">
        <v>31</v>
      </c>
      <c r="L2" s="1">
        <f>J2*(SQRT(9-2)/L4)*L5</f>
        <v>4.464098725292474</v>
      </c>
    </row>
    <row r="3" spans="1:12" ht="15.75" x14ac:dyDescent="0.25">
      <c r="A3" s="2" t="s">
        <v>12</v>
      </c>
      <c r="B3" s="3">
        <v>2.1</v>
      </c>
      <c r="C3" s="3">
        <v>1.9</v>
      </c>
      <c r="D3" s="4">
        <f t="shared" si="0"/>
        <v>3.9899999999999998</v>
      </c>
      <c r="E3" s="4">
        <f t="shared" si="1"/>
        <v>4.41</v>
      </c>
      <c r="F3" s="4">
        <f t="shared" si="2"/>
        <v>3.61</v>
      </c>
      <c r="G3" s="4">
        <f t="shared" si="3"/>
        <v>1.8510000000000002</v>
      </c>
      <c r="H3" s="5">
        <f t="shared" si="4"/>
        <v>2.4009999999999717E-3</v>
      </c>
      <c r="I3" s="12" t="s">
        <v>21</v>
      </c>
      <c r="J3" s="1">
        <f>(D12-B12*C12)/SQRT((E12-B12*B12)*(F12-C12*C12))</f>
        <v>0.86308979151743836</v>
      </c>
      <c r="K3" s="12"/>
      <c r="L3" s="1"/>
    </row>
    <row r="4" spans="1:12" ht="15.75" x14ac:dyDescent="0.25">
      <c r="A4" s="2" t="s">
        <v>8</v>
      </c>
      <c r="B4" s="3">
        <v>1.3</v>
      </c>
      <c r="C4" s="3">
        <v>1.7</v>
      </c>
      <c r="D4" s="4">
        <f t="shared" si="0"/>
        <v>2.21</v>
      </c>
      <c r="E4" s="4">
        <f t="shared" si="1"/>
        <v>1.6900000000000002</v>
      </c>
      <c r="F4" s="4">
        <f t="shared" si="2"/>
        <v>2.8899999999999997</v>
      </c>
      <c r="G4" s="4">
        <f t="shared" si="3"/>
        <v>1.4430000000000001</v>
      </c>
      <c r="H4" s="5">
        <f t="shared" si="4"/>
        <v>6.6048999999999941E-2</v>
      </c>
      <c r="I4" s="11" t="s">
        <v>23</v>
      </c>
      <c r="J4" s="4">
        <f>F12-C12*C12</f>
        <v>7.5555555555554488E-2</v>
      </c>
      <c r="K4" s="12" t="s">
        <v>29</v>
      </c>
      <c r="L4" s="1">
        <f>SQRT(H11/9)</f>
        <v>0.13920488497175659</v>
      </c>
    </row>
    <row r="5" spans="1:12" ht="15.75" x14ac:dyDescent="0.25">
      <c r="A5" s="2" t="s">
        <v>11</v>
      </c>
      <c r="B5" s="3">
        <v>2</v>
      </c>
      <c r="C5" s="3">
        <v>1.8</v>
      </c>
      <c r="D5" s="4">
        <f t="shared" si="0"/>
        <v>3.6</v>
      </c>
      <c r="E5" s="4">
        <f t="shared" si="1"/>
        <v>4</v>
      </c>
      <c r="F5" s="4">
        <f t="shared" si="2"/>
        <v>3.24</v>
      </c>
      <c r="G5" s="4">
        <f t="shared" si="3"/>
        <v>1.8</v>
      </c>
      <c r="H5" s="5">
        <f t="shared" si="4"/>
        <v>0</v>
      </c>
      <c r="I5" s="11" t="s">
        <v>24</v>
      </c>
      <c r="J5" s="4">
        <f>H12</f>
        <v>1.9377999999999982E-2</v>
      </c>
      <c r="K5" s="12" t="s">
        <v>30</v>
      </c>
      <c r="L5" s="1">
        <f>SQRT(E12-B12*B12)</f>
        <v>0.46054181724583737</v>
      </c>
    </row>
    <row r="6" spans="1:12" ht="15.75" x14ac:dyDescent="0.25">
      <c r="A6" s="2" t="s">
        <v>13</v>
      </c>
      <c r="B6" s="3">
        <v>2.2999999999999998</v>
      </c>
      <c r="C6" s="3">
        <v>1.9</v>
      </c>
      <c r="D6" s="4">
        <f t="shared" si="0"/>
        <v>4.3699999999999992</v>
      </c>
      <c r="E6" s="4">
        <f t="shared" si="1"/>
        <v>5.2899999999999991</v>
      </c>
      <c r="F6" s="4">
        <f t="shared" si="2"/>
        <v>3.61</v>
      </c>
      <c r="G6" s="4">
        <f t="shared" si="3"/>
        <v>1.9529999999999998</v>
      </c>
      <c r="H6" s="5">
        <f t="shared" si="4"/>
        <v>2.8089999999999934E-3</v>
      </c>
      <c r="I6" s="12" t="s">
        <v>25</v>
      </c>
      <c r="J6" s="4">
        <f>L4-J5</f>
        <v>0.11982688497175661</v>
      </c>
      <c r="K6" s="12" t="s">
        <v>34</v>
      </c>
      <c r="L6" s="1">
        <v>7</v>
      </c>
    </row>
    <row r="7" spans="1:12" ht="15.75" x14ac:dyDescent="0.25">
      <c r="A7" s="2" t="s">
        <v>14</v>
      </c>
      <c r="B7" s="3">
        <v>2.5</v>
      </c>
      <c r="C7" s="3">
        <v>2</v>
      </c>
      <c r="D7" s="4">
        <f t="shared" si="0"/>
        <v>5</v>
      </c>
      <c r="E7" s="4">
        <f t="shared" si="1"/>
        <v>6.25</v>
      </c>
      <c r="F7" s="4">
        <f t="shared" si="2"/>
        <v>4</v>
      </c>
      <c r="G7" s="4">
        <f t="shared" si="3"/>
        <v>2.0549999999999997</v>
      </c>
      <c r="H7" s="5">
        <f t="shared" si="4"/>
        <v>3.0249999999999687E-3</v>
      </c>
      <c r="I7" s="12" t="s">
        <v>22</v>
      </c>
      <c r="J7" s="1">
        <f>SQRT(1-J6/L4)</f>
        <v>0.3731017086154344</v>
      </c>
      <c r="K7" s="12" t="s">
        <v>33</v>
      </c>
      <c r="L7" s="1">
        <v>1</v>
      </c>
    </row>
    <row r="8" spans="1:12" ht="15.75" x14ac:dyDescent="0.25">
      <c r="A8" s="2" t="s">
        <v>10</v>
      </c>
      <c r="B8" s="3">
        <v>1.7</v>
      </c>
      <c r="C8" s="3">
        <v>1.4</v>
      </c>
      <c r="D8" s="4">
        <f t="shared" si="0"/>
        <v>2.38</v>
      </c>
      <c r="E8" s="4">
        <f t="shared" si="1"/>
        <v>2.8899999999999997</v>
      </c>
      <c r="F8" s="4">
        <f t="shared" si="2"/>
        <v>1.9599999999999997</v>
      </c>
      <c r="G8" s="4">
        <f t="shared" si="3"/>
        <v>1.647</v>
      </c>
      <c r="H8" s="5">
        <f t="shared" si="4"/>
        <v>6.1009000000000056E-2</v>
      </c>
      <c r="I8" s="12" t="s">
        <v>26</v>
      </c>
      <c r="J8" s="1">
        <v>5.59</v>
      </c>
      <c r="K8" s="12" t="s">
        <v>28</v>
      </c>
      <c r="L8" s="1">
        <f>(J4/(1-J4))*(7/1)</f>
        <v>0.57211538461537592</v>
      </c>
    </row>
    <row r="9" spans="1:12" ht="15.75" x14ac:dyDescent="0.25">
      <c r="A9" s="2" t="s">
        <v>16</v>
      </c>
      <c r="B9" s="3">
        <v>2.8</v>
      </c>
      <c r="C9" s="3">
        <v>2.4</v>
      </c>
      <c r="D9" s="4">
        <f t="shared" si="0"/>
        <v>6.72</v>
      </c>
      <c r="E9" s="4">
        <f t="shared" si="1"/>
        <v>7.839999999999999</v>
      </c>
      <c r="F9" s="4">
        <f t="shared" si="2"/>
        <v>5.76</v>
      </c>
      <c r="G9" s="4">
        <f t="shared" si="3"/>
        <v>2.2080000000000002</v>
      </c>
      <c r="H9" s="5">
        <f t="shared" si="4"/>
        <v>3.6863999999999897E-2</v>
      </c>
      <c r="I9" s="12" t="s">
        <v>27</v>
      </c>
      <c r="J9" s="1">
        <f>J7*J7</f>
        <v>0.13920488497175651</v>
      </c>
      <c r="K9" s="12" t="s">
        <v>35</v>
      </c>
      <c r="L9" s="1">
        <f>J2*(B12/C12)</f>
        <v>0.57678571428571423</v>
      </c>
    </row>
    <row r="10" spans="1:12" ht="15.75" x14ac:dyDescent="0.25">
      <c r="A10" s="2" t="s">
        <v>15</v>
      </c>
      <c r="B10" s="3">
        <v>2.6</v>
      </c>
      <c r="C10" s="3">
        <v>2.1</v>
      </c>
      <c r="D10" s="4">
        <f t="shared" si="0"/>
        <v>5.4600000000000009</v>
      </c>
      <c r="E10" s="4">
        <f t="shared" si="1"/>
        <v>6.7600000000000007</v>
      </c>
      <c r="F10" s="4">
        <f t="shared" si="2"/>
        <v>4.41</v>
      </c>
      <c r="G10" s="4">
        <f t="shared" si="3"/>
        <v>2.1059999999999999</v>
      </c>
      <c r="H10" s="5">
        <f t="shared" si="4"/>
        <v>3.5999999999997399E-5</v>
      </c>
      <c r="I10" s="12" t="s">
        <v>28</v>
      </c>
      <c r="J10" s="1">
        <f>(J9/(1-J9))*(9-2)</f>
        <v>1.1320164087714688</v>
      </c>
      <c r="K10" s="12"/>
      <c r="L10" s="1"/>
    </row>
    <row r="11" spans="1:12" x14ac:dyDescent="0.25">
      <c r="A11" s="6" t="s">
        <v>17</v>
      </c>
      <c r="B11" s="6">
        <f t="shared" ref="B11:H11" si="5">B2+B3+B4+B5+B6+B7+B8+B9+B10</f>
        <v>19</v>
      </c>
      <c r="C11" s="6">
        <f t="shared" si="5"/>
        <v>16.8</v>
      </c>
      <c r="D11" s="6">
        <f t="shared" si="5"/>
        <v>36.450000000000003</v>
      </c>
      <c r="E11" s="6">
        <f t="shared" si="5"/>
        <v>42.019999999999996</v>
      </c>
      <c r="F11" s="6">
        <f t="shared" si="5"/>
        <v>32.039999999999992</v>
      </c>
      <c r="G11" s="6">
        <f t="shared" si="5"/>
        <v>16.71</v>
      </c>
      <c r="H11" s="6">
        <f t="shared" si="5"/>
        <v>0.17440199999999983</v>
      </c>
      <c r="I11" s="1"/>
      <c r="J11" s="1"/>
      <c r="K11" s="1"/>
      <c r="L11" s="1"/>
    </row>
    <row r="12" spans="1:12" x14ac:dyDescent="0.25">
      <c r="A12" s="10" t="s">
        <v>20</v>
      </c>
      <c r="B12" s="10">
        <f>B11/9</f>
        <v>2.1111111111111112</v>
      </c>
      <c r="C12" s="10">
        <f t="shared" ref="C12:H12" si="6">C11/9</f>
        <v>1.8666666666666667</v>
      </c>
      <c r="D12" s="10">
        <f t="shared" si="6"/>
        <v>4.0500000000000007</v>
      </c>
      <c r="E12" s="10">
        <f t="shared" si="6"/>
        <v>4.6688888888888886</v>
      </c>
      <c r="F12" s="10">
        <f t="shared" si="6"/>
        <v>3.5599999999999992</v>
      </c>
      <c r="G12" s="10">
        <f t="shared" si="6"/>
        <v>1.8566666666666667</v>
      </c>
      <c r="H12" s="10">
        <f t="shared" si="6"/>
        <v>1.9377999999999982E-2</v>
      </c>
    </row>
    <row r="13" spans="1:12" x14ac:dyDescent="0.25">
      <c r="A13" s="7"/>
      <c r="B13" s="8"/>
      <c r="C13" s="7"/>
      <c r="D13" s="7"/>
      <c r="E13" s="7"/>
      <c r="F13" s="7"/>
      <c r="G13" s="7"/>
      <c r="H13" s="7"/>
    </row>
  </sheetData>
  <sortState xmlns:xlrd2="http://schemas.microsoft.com/office/spreadsheetml/2017/richdata2" ref="A2:H13">
    <sortCondition ref="A2:A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Alex</dc:creator>
  <cp:lastModifiedBy>Bram Alex</cp:lastModifiedBy>
  <dcterms:created xsi:type="dcterms:W3CDTF">2015-06-05T18:17:20Z</dcterms:created>
  <dcterms:modified xsi:type="dcterms:W3CDTF">2026-02-12T05:09:32Z</dcterms:modified>
</cp:coreProperties>
</file>
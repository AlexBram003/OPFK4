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11\Documents\"/>
    </mc:Choice>
  </mc:AlternateContent>
  <xr:revisionPtr revIDLastSave="0" documentId="13_ncr:1_{B994F64C-060F-4E29-8B81-30EB10EE56F3}" xr6:coauthVersionLast="47" xr6:coauthVersionMax="47" xr10:uidLastSave="{00000000-0000-0000-0000-000000000000}"/>
  <bookViews>
    <workbookView xWindow="-120" yWindow="-120" windowWidth="29040" windowHeight="15840" xr2:uid="{29F5C001-C0D4-40C3-B036-95447DA5406E}"/>
  </bookViews>
  <sheets>
    <sheet name="Аркуш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25" i="1"/>
  <c r="E29" i="1"/>
  <c r="L3" i="1"/>
  <c r="L4" i="1"/>
  <c r="L5" i="1"/>
  <c r="L6" i="1"/>
  <c r="L7" i="1"/>
  <c r="L8" i="1"/>
  <c r="L9" i="1"/>
  <c r="L10" i="1"/>
  <c r="L11" i="1"/>
  <c r="L2" i="1"/>
  <c r="E27" i="1" l="1"/>
  <c r="J3" i="1"/>
  <c r="J4" i="1"/>
  <c r="J5" i="1"/>
  <c r="J6" i="1"/>
  <c r="J7" i="1"/>
  <c r="J8" i="1"/>
  <c r="J9" i="1"/>
  <c r="J10" i="1"/>
  <c r="J11" i="1"/>
  <c r="I11" i="1"/>
  <c r="I3" i="1"/>
  <c r="I4" i="1"/>
  <c r="I5" i="1"/>
  <c r="I6" i="1"/>
  <c r="I7" i="1"/>
  <c r="I8" i="1"/>
  <c r="I9" i="1"/>
  <c r="I10" i="1"/>
  <c r="H11" i="1"/>
  <c r="H3" i="1"/>
  <c r="H4" i="1"/>
  <c r="H5" i="1"/>
  <c r="H6" i="1"/>
  <c r="H7" i="1"/>
  <c r="H8" i="1"/>
  <c r="H9" i="1"/>
  <c r="H10" i="1"/>
  <c r="G11" i="1"/>
  <c r="G3" i="1"/>
  <c r="G4" i="1"/>
  <c r="G5" i="1"/>
  <c r="G6" i="1"/>
  <c r="G7" i="1"/>
  <c r="G8" i="1"/>
  <c r="G9" i="1"/>
  <c r="G10" i="1"/>
  <c r="F3" i="1"/>
  <c r="F4" i="1"/>
  <c r="F5" i="1"/>
  <c r="F6" i="1"/>
  <c r="F7" i="1"/>
  <c r="F8" i="1"/>
  <c r="F9" i="1"/>
  <c r="F10" i="1"/>
  <c r="F11" i="1"/>
  <c r="N15" i="1"/>
  <c r="J15" i="1"/>
  <c r="B15" i="1"/>
  <c r="C12" i="1"/>
  <c r="C13" i="1" s="1"/>
  <c r="D12" i="1"/>
  <c r="D13" i="1" s="1"/>
  <c r="B12" i="1"/>
  <c r="B16" i="1" s="1"/>
  <c r="E3" i="1"/>
  <c r="E4" i="1"/>
  <c r="E5" i="1"/>
  <c r="E6" i="1"/>
  <c r="E7" i="1"/>
  <c r="E8" i="1"/>
  <c r="E9" i="1"/>
  <c r="E10" i="1"/>
  <c r="E11" i="1"/>
  <c r="E26" i="1"/>
  <c r="J2" i="1"/>
  <c r="I2" i="1"/>
  <c r="H2" i="1"/>
  <c r="G2" i="1"/>
  <c r="J16" i="1"/>
  <c r="F2" i="1"/>
  <c r="E2" i="1"/>
  <c r="E12" i="1" l="1"/>
  <c r="E13" i="1" s="1"/>
  <c r="G12" i="1"/>
  <c r="G13" i="1" s="1"/>
  <c r="I12" i="1"/>
  <c r="I13" i="1" s="1"/>
  <c r="B26" i="1" s="1"/>
  <c r="J12" i="1"/>
  <c r="J13" i="1" s="1"/>
  <c r="B13" i="1"/>
  <c r="F15" i="1"/>
  <c r="H12" i="1"/>
  <c r="H13" i="1" s="1"/>
  <c r="D15" i="1"/>
  <c r="F12" i="1"/>
  <c r="F13" i="1" s="1"/>
  <c r="P17" i="1"/>
  <c r="H16" i="1"/>
  <c r="G17" i="1"/>
  <c r="L15" i="1"/>
  <c r="O15" i="1"/>
  <c r="N16" i="1"/>
  <c r="C15" i="1"/>
  <c r="G15" i="1"/>
  <c r="D16" i="1"/>
  <c r="G16" i="1"/>
  <c r="O16" i="1"/>
  <c r="C16" i="1"/>
  <c r="L16" i="1"/>
  <c r="C17" i="1"/>
  <c r="F17" i="1"/>
  <c r="B17" i="1"/>
  <c r="N17" i="1"/>
  <c r="A15" i="1"/>
  <c r="J17" i="1"/>
  <c r="O17" i="1"/>
  <c r="H15" i="1"/>
  <c r="K15" i="1"/>
  <c r="P15" i="1"/>
  <c r="K17" i="1" l="1"/>
  <c r="A17" i="1"/>
  <c r="K16" i="1"/>
  <c r="P16" i="1"/>
  <c r="A16" i="1"/>
  <c r="B24" i="1"/>
  <c r="B27" i="1" s="1"/>
  <c r="F16" i="1"/>
  <c r="B25" i="1"/>
  <c r="B28" i="1" s="1"/>
  <c r="L17" i="1"/>
  <c r="B21" i="1" s="1"/>
  <c r="H17" i="1"/>
  <c r="B20" i="1" s="1"/>
  <c r="D17" i="1"/>
  <c r="B19" i="1" s="1"/>
  <c r="B22" i="1"/>
  <c r="B29" i="1" l="1"/>
  <c r="E19" i="1"/>
  <c r="E20" i="1"/>
  <c r="B30" i="1"/>
  <c r="B31" i="1" s="1"/>
  <c r="E21" i="1"/>
  <c r="K7" i="1" l="1"/>
  <c r="K9" i="1"/>
  <c r="K10" i="1"/>
  <c r="K5" i="1"/>
  <c r="K8" i="1"/>
  <c r="K11" i="1"/>
  <c r="K3" i="1"/>
  <c r="K4" i="1"/>
  <c r="K6" i="1"/>
  <c r="H25" i="1"/>
  <c r="H27" i="1"/>
  <c r="H29" i="1" s="1"/>
  <c r="K2" i="1"/>
  <c r="H24" i="1"/>
  <c r="H26" i="1"/>
  <c r="H28" i="1" s="1"/>
  <c r="K12" i="1" l="1"/>
  <c r="K13" i="1" s="1"/>
  <c r="L12" i="1" l="1"/>
  <c r="L13" i="1" s="1"/>
  <c r="E28" i="1" s="1"/>
</calcChain>
</file>

<file path=xl/sharedStrings.xml><?xml version="1.0" encoding="utf-8"?>
<sst xmlns="http://schemas.openxmlformats.org/spreadsheetml/2006/main" count="41" uniqueCount="41">
  <si>
    <t>YX1​</t>
  </si>
  <si>
    <t>YX2​</t>
  </si>
  <si>
    <t>X1​X2​</t>
  </si>
  <si>
    <t>X1^2​</t>
  </si>
  <si>
    <t>X2^2​</t>
  </si>
  <si>
    <t>Y^2</t>
  </si>
  <si>
    <t>Y^</t>
  </si>
  <si>
    <t>Разом</t>
  </si>
  <si>
    <t>Дельта</t>
  </si>
  <si>
    <t>Дельта1</t>
  </si>
  <si>
    <t>Дельта2</t>
  </si>
  <si>
    <t>Дельта3</t>
  </si>
  <si>
    <t>a0</t>
  </si>
  <si>
    <t>a1</t>
  </si>
  <si>
    <t>a2</t>
  </si>
  <si>
    <t>Середне</t>
  </si>
  <si>
    <t>σx1</t>
  </si>
  <si>
    <t>σx2</t>
  </si>
  <si>
    <t>σy</t>
  </si>
  <si>
    <t>ryx1</t>
  </si>
  <si>
    <t>ryx2</t>
  </si>
  <si>
    <t>rx1x2</t>
  </si>
  <si>
    <t>RYX1X2</t>
  </si>
  <si>
    <t>R^2</t>
  </si>
  <si>
    <t>ta1</t>
  </si>
  <si>
    <t>ta2</t>
  </si>
  <si>
    <t>k1</t>
  </si>
  <si>
    <t>k2</t>
  </si>
  <si>
    <t>Fрозр</t>
  </si>
  <si>
    <t>σзаг</t>
  </si>
  <si>
    <t>E1</t>
  </si>
  <si>
    <t>E2</t>
  </si>
  <si>
    <t>β1</t>
  </si>
  <si>
    <t>β2</t>
  </si>
  <si>
    <t>∆1</t>
  </si>
  <si>
    <t>∆2</t>
  </si>
  <si>
    <t>Номер під-ва</t>
  </si>
  <si>
    <t>Сума непрямих витрат, тис грн, x1</t>
  </si>
  <si>
    <t>Середня з/п, грн, x2</t>
  </si>
  <si>
    <t>Собівартість одиниці продукції, грн, Y</t>
  </si>
  <si>
    <t>(Y-Y^)^2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</si>
</sst>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1F1F1F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1" fillId="2" borderId="4" xfId="0" applyFont="1" applyFill="1" applyBorder="1"/>
    <xf numFmtId="0" fontId="3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1" fillId="2" borderId="2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3" fillId="0" borderId="1" xfId="0" applyFont="1" applyFill="1" applyBorder="1"/>
    <xf numFmtId="0" fontId="3" fillId="0" borderId="4" xfId="0" applyFont="1" applyFill="1" applyBorder="1"/>
    <xf numFmtId="2" fontId="3" fillId="0" borderId="1" xfId="0" applyNumberFormat="1" applyFont="1" applyFill="1" applyBorder="1"/>
    <xf numFmtId="0" fontId="3" fillId="0" borderId="6" xfId="0" applyFont="1" applyFill="1" applyBorder="1"/>
    <xf numFmtId="0" fontId="3" fillId="0" borderId="3" xfId="0" applyFont="1" applyFill="1" applyBorder="1" applyAlignment="1"/>
    <xf numFmtId="0" fontId="3" fillId="0" borderId="3" xfId="0" applyFont="1" applyFill="1" applyBorder="1"/>
    <xf numFmtId="0" fontId="5" fillId="2" borderId="1" xfId="0" applyFont="1" applyFill="1" applyBorder="1"/>
    <xf numFmtId="0" fontId="1" fillId="0" borderId="5" xfId="0" applyFont="1" applyBorder="1" applyAlignment="1"/>
    <xf numFmtId="0" fontId="1" fillId="0" borderId="0" xfId="0" applyFont="1" applyBorder="1" applyAlignment="1"/>
    <xf numFmtId="0" fontId="3" fillId="0" borderId="5" xfId="0" applyFont="1" applyBorder="1" applyAlignment="1"/>
    <xf numFmtId="0" fontId="3" fillId="0" borderId="0" xfId="0" applyFont="1" applyBorder="1" applyAlignment="1"/>
    <xf numFmtId="0" fontId="1" fillId="0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0" fontId="2" fillId="0" borderId="0" xfId="0" applyFont="1" applyFill="1" applyBorder="1" applyAlignment="1">
      <alignment horizontal="right" vertical="center" wrapText="1" indent="1" readingOrder="1"/>
    </xf>
    <xf numFmtId="0" fontId="2" fillId="0" borderId="0" xfId="0" applyFont="1" applyFill="1" applyBorder="1" applyAlignment="1">
      <alignment vertical="center" wrapText="1" readingOrder="1"/>
    </xf>
    <xf numFmtId="0" fontId="4" fillId="0" borderId="0" xfId="0" applyFont="1" applyFill="1" applyBorder="1" applyAlignment="1">
      <alignment horizontal="right" vertical="center" wrapText="1" indent="1" readingOrder="1"/>
    </xf>
    <xf numFmtId="0" fontId="4" fillId="0" borderId="0" xfId="0" applyFont="1" applyFill="1" applyBorder="1" applyAlignment="1">
      <alignment vertical="center" wrapTex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A556-CAE8-4091-93B4-22EBC7743DA4}">
  <dimension ref="A1:AM74"/>
  <sheetViews>
    <sheetView tabSelected="1" workbookViewId="0">
      <selection activeCell="E25" sqref="E25"/>
    </sheetView>
  </sheetViews>
  <sheetFormatPr defaultRowHeight="15" x14ac:dyDescent="0.25"/>
  <cols>
    <col min="1" max="1" width="9.28515625" bestFit="1" customWidth="1"/>
    <col min="2" max="2" width="11.42578125" customWidth="1"/>
    <col min="3" max="3" width="19.42578125" customWidth="1"/>
    <col min="4" max="4" width="23.42578125" customWidth="1"/>
    <col min="5" max="5" width="14.5703125" bestFit="1" customWidth="1"/>
    <col min="6" max="6" width="10.85546875" bestFit="1" customWidth="1"/>
    <col min="7" max="7" width="11.28515625" customWidth="1"/>
    <col min="8" max="8" width="17.42578125" bestFit="1" customWidth="1"/>
    <col min="9" max="9" width="11.28515625" customWidth="1"/>
    <col min="10" max="10" width="10.85546875" customWidth="1"/>
    <col min="11" max="11" width="13.140625" bestFit="1" customWidth="1"/>
    <col min="12" max="12" width="14.85546875" bestFit="1" customWidth="1"/>
  </cols>
  <sheetData>
    <row r="1" spans="1:39" ht="94.5" x14ac:dyDescent="0.25">
      <c r="A1" s="16" t="s">
        <v>36</v>
      </c>
      <c r="B1" s="17" t="s">
        <v>37</v>
      </c>
      <c r="C1" s="16" t="s">
        <v>38</v>
      </c>
      <c r="D1" s="17" t="s">
        <v>39</v>
      </c>
      <c r="E1" s="11" t="s">
        <v>0</v>
      </c>
      <c r="F1" s="10" t="s">
        <v>1</v>
      </c>
      <c r="G1" s="10" t="s">
        <v>3</v>
      </c>
      <c r="H1" s="10" t="s">
        <v>4</v>
      </c>
      <c r="I1" s="10" t="s">
        <v>5</v>
      </c>
      <c r="J1" s="10" t="s">
        <v>2</v>
      </c>
      <c r="K1" s="10" t="s">
        <v>6</v>
      </c>
      <c r="L1" s="9" t="s">
        <v>40</v>
      </c>
      <c r="M1" s="4"/>
      <c r="N1" s="4"/>
      <c r="O1" s="4"/>
      <c r="P1" s="4"/>
      <c r="Q1" s="4"/>
      <c r="R1" s="4"/>
      <c r="S1" s="39"/>
      <c r="T1" s="39"/>
      <c r="U1" s="40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ht="15.75" x14ac:dyDescent="0.25">
      <c r="A2" s="1">
        <v>1</v>
      </c>
      <c r="B2" s="18">
        <v>44.2</v>
      </c>
      <c r="C2" s="1">
        <v>1785</v>
      </c>
      <c r="D2" s="18">
        <v>65.2</v>
      </c>
      <c r="E2" s="12">
        <f>D2*B2</f>
        <v>2881.84</v>
      </c>
      <c r="F2" s="2">
        <f>D2*C2</f>
        <v>116382</v>
      </c>
      <c r="G2" s="2">
        <f>B2*B2</f>
        <v>1953.6400000000003</v>
      </c>
      <c r="H2" s="2">
        <f>C2*C2</f>
        <v>3186225</v>
      </c>
      <c r="I2" s="2">
        <f>D2*D2</f>
        <v>4251.04</v>
      </c>
      <c r="J2" s="2">
        <f>B2*C2</f>
        <v>78897</v>
      </c>
      <c r="K2" s="1">
        <f>$E$19+B2*$E$20+C2*$E$21</f>
        <v>66.015394591377287</v>
      </c>
      <c r="L2" s="3">
        <f>(D2-K2)^2</f>
        <v>0.66486833964732861</v>
      </c>
      <c r="M2" s="4"/>
      <c r="N2" s="4"/>
      <c r="O2" s="4"/>
      <c r="P2" s="4"/>
      <c r="Q2" s="4"/>
      <c r="R2" s="4"/>
      <c r="S2" s="41"/>
      <c r="T2" s="41"/>
      <c r="U2" s="42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5.75" x14ac:dyDescent="0.25">
      <c r="A3" s="1">
        <v>2</v>
      </c>
      <c r="B3" s="18">
        <v>91.9</v>
      </c>
      <c r="C3" s="1">
        <v>1687</v>
      </c>
      <c r="D3" s="18">
        <v>7.8</v>
      </c>
      <c r="E3" s="12">
        <f t="shared" ref="E3:E11" si="0">D3*B3</f>
        <v>716.82</v>
      </c>
      <c r="F3" s="2">
        <f t="shared" ref="F3:F11" si="1">D3*C3</f>
        <v>13158.6</v>
      </c>
      <c r="G3" s="2">
        <f t="shared" ref="G3:G10" si="2">B3*B3</f>
        <v>8445.61</v>
      </c>
      <c r="H3" s="2">
        <f t="shared" ref="H3:H10" si="3">C3*C3</f>
        <v>2845969</v>
      </c>
      <c r="I3" s="2">
        <f t="shared" ref="I3:I10" si="4">D3*D3</f>
        <v>60.839999999999996</v>
      </c>
      <c r="J3" s="2">
        <f t="shared" ref="J3:J11" si="5">B3*C3</f>
        <v>155035.30000000002</v>
      </c>
      <c r="K3" s="1">
        <f t="shared" ref="K3:K11" si="6">$E$19+B3*$E$20+C3*$E$21</f>
        <v>43.302425435018165</v>
      </c>
      <c r="L3" s="3">
        <f t="shared" ref="L3:L11" si="7">(D3-K3)^2</f>
        <v>1260.4222117690249</v>
      </c>
      <c r="M3" s="4"/>
      <c r="N3" s="4"/>
      <c r="O3" s="4"/>
      <c r="P3" s="4"/>
      <c r="Q3" s="4"/>
      <c r="R3" s="4"/>
      <c r="S3" s="41"/>
      <c r="T3" s="41"/>
      <c r="U3" s="42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5.75" x14ac:dyDescent="0.25">
      <c r="A4" s="1">
        <v>3</v>
      </c>
      <c r="B4" s="18">
        <v>48.6</v>
      </c>
      <c r="C4" s="1">
        <v>1817</v>
      </c>
      <c r="D4" s="18">
        <v>69.5</v>
      </c>
      <c r="E4" s="12">
        <f t="shared" si="0"/>
        <v>3377.7000000000003</v>
      </c>
      <c r="F4" s="2">
        <f t="shared" si="1"/>
        <v>126281.5</v>
      </c>
      <c r="G4" s="2">
        <f t="shared" si="2"/>
        <v>2361.96</v>
      </c>
      <c r="H4" s="2">
        <f t="shared" si="3"/>
        <v>3301489</v>
      </c>
      <c r="I4" s="2">
        <f t="shared" si="4"/>
        <v>4830.25</v>
      </c>
      <c r="J4" s="2">
        <f t="shared" si="5"/>
        <v>88306.2</v>
      </c>
      <c r="K4" s="1">
        <f t="shared" si="6"/>
        <v>71.376556335076657</v>
      </c>
      <c r="L4" s="3">
        <f t="shared" si="7"/>
        <v>3.5214636787163345</v>
      </c>
      <c r="M4" s="4"/>
      <c r="N4" s="4"/>
      <c r="O4" s="4"/>
      <c r="P4" s="4"/>
      <c r="Q4" s="4"/>
      <c r="R4" s="4"/>
      <c r="S4" s="41"/>
      <c r="T4" s="41"/>
      <c r="U4" s="4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ht="15.75" x14ac:dyDescent="0.25">
      <c r="A5" s="1">
        <v>4</v>
      </c>
      <c r="B5" s="18">
        <v>99.8</v>
      </c>
      <c r="C5" s="1">
        <v>1939</v>
      </c>
      <c r="D5" s="18">
        <v>77.7</v>
      </c>
      <c r="E5" s="12">
        <f t="shared" si="0"/>
        <v>7754.46</v>
      </c>
      <c r="F5" s="2">
        <f t="shared" si="1"/>
        <v>150660.30000000002</v>
      </c>
      <c r="G5" s="2">
        <f t="shared" si="2"/>
        <v>9960.0399999999991</v>
      </c>
      <c r="H5" s="2">
        <f t="shared" si="3"/>
        <v>3759721</v>
      </c>
      <c r="I5" s="2">
        <f t="shared" si="4"/>
        <v>6037.2900000000009</v>
      </c>
      <c r="J5" s="2">
        <f t="shared" si="5"/>
        <v>193512.19999999998</v>
      </c>
      <c r="K5" s="1">
        <f t="shared" si="6"/>
        <v>88.273932200332581</v>
      </c>
      <c r="L5" s="3">
        <f t="shared" si="7"/>
        <v>111.80804217723016</v>
      </c>
      <c r="M5" s="4"/>
      <c r="N5" s="4"/>
      <c r="O5" s="4"/>
      <c r="P5" s="4"/>
      <c r="Q5" s="4"/>
      <c r="R5" s="4"/>
      <c r="S5" s="41"/>
      <c r="T5" s="41"/>
      <c r="U5" s="4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ht="15.75" x14ac:dyDescent="0.25">
      <c r="A6" s="1">
        <v>5</v>
      </c>
      <c r="B6" s="18">
        <v>85.2</v>
      </c>
      <c r="C6" s="1">
        <v>1804</v>
      </c>
      <c r="D6" s="18">
        <v>63.5</v>
      </c>
      <c r="E6" s="12">
        <f t="shared" si="0"/>
        <v>5410.2</v>
      </c>
      <c r="F6" s="2">
        <f t="shared" si="1"/>
        <v>114554</v>
      </c>
      <c r="G6" s="2">
        <f t="shared" si="2"/>
        <v>7259.0400000000009</v>
      </c>
      <c r="H6" s="2">
        <f t="shared" si="3"/>
        <v>3254416</v>
      </c>
      <c r="I6" s="2">
        <f t="shared" si="4"/>
        <v>4032.25</v>
      </c>
      <c r="J6" s="2">
        <f t="shared" si="5"/>
        <v>153700.80000000002</v>
      </c>
      <c r="K6" s="1">
        <f t="shared" si="6"/>
        <v>65.248821983504001</v>
      </c>
      <c r="L6" s="3">
        <f t="shared" si="7"/>
        <v>3.0583783299868696</v>
      </c>
      <c r="M6" s="4"/>
      <c r="N6" s="4"/>
      <c r="O6" s="4"/>
      <c r="P6" s="4"/>
      <c r="Q6" s="4"/>
      <c r="R6" s="4"/>
      <c r="S6" s="41"/>
      <c r="T6" s="41"/>
      <c r="U6" s="42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ht="15.75" x14ac:dyDescent="0.25">
      <c r="A7" s="1">
        <v>6</v>
      </c>
      <c r="B7" s="18">
        <v>74.5</v>
      </c>
      <c r="C7" s="1">
        <v>1752</v>
      </c>
      <c r="D7" s="18">
        <v>69.7</v>
      </c>
      <c r="E7" s="12">
        <f t="shared" si="0"/>
        <v>5192.6500000000005</v>
      </c>
      <c r="F7" s="2">
        <f t="shared" si="1"/>
        <v>122114.40000000001</v>
      </c>
      <c r="G7" s="2">
        <f t="shared" si="2"/>
        <v>5550.25</v>
      </c>
      <c r="H7" s="2">
        <f t="shared" si="3"/>
        <v>3069504</v>
      </c>
      <c r="I7" s="2">
        <f t="shared" si="4"/>
        <v>4858.09</v>
      </c>
      <c r="J7" s="2">
        <f t="shared" si="5"/>
        <v>130524</v>
      </c>
      <c r="K7" s="1">
        <f t="shared" si="6"/>
        <v>56.902200356331605</v>
      </c>
      <c r="L7" s="3">
        <f t="shared" si="7"/>
        <v>163.78367571947896</v>
      </c>
      <c r="M7" s="4"/>
      <c r="N7" s="4"/>
      <c r="O7" s="4"/>
      <c r="P7" s="4"/>
      <c r="Q7" s="4"/>
      <c r="R7" s="4"/>
      <c r="S7" s="41"/>
      <c r="T7" s="41"/>
      <c r="U7" s="42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15.75" x14ac:dyDescent="0.25">
      <c r="A8" s="1">
        <v>7</v>
      </c>
      <c r="B8" s="18">
        <v>134.80000000000001</v>
      </c>
      <c r="C8" s="1">
        <v>1850</v>
      </c>
      <c r="D8" s="18">
        <v>72.5</v>
      </c>
      <c r="E8" s="12">
        <f t="shared" si="0"/>
        <v>9773</v>
      </c>
      <c r="F8" s="2">
        <f t="shared" si="1"/>
        <v>134125</v>
      </c>
      <c r="G8" s="2">
        <f t="shared" si="2"/>
        <v>18171.040000000005</v>
      </c>
      <c r="H8" s="2">
        <f t="shared" si="3"/>
        <v>3422500</v>
      </c>
      <c r="I8" s="2">
        <f t="shared" si="4"/>
        <v>5256.25</v>
      </c>
      <c r="J8" s="2">
        <f t="shared" si="5"/>
        <v>249380.00000000003</v>
      </c>
      <c r="K8" s="1">
        <f t="shared" si="6"/>
        <v>68.50284548885395</v>
      </c>
      <c r="L8" s="3">
        <f t="shared" si="7"/>
        <v>15.977244185975218</v>
      </c>
      <c r="M8" s="4"/>
      <c r="N8" s="4"/>
      <c r="O8" s="4"/>
      <c r="P8" s="4"/>
      <c r="Q8" s="4"/>
      <c r="R8" s="4"/>
      <c r="S8" s="41"/>
      <c r="T8" s="41"/>
      <c r="U8" s="42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ht="15.75" x14ac:dyDescent="0.25">
      <c r="A9" s="1">
        <v>8</v>
      </c>
      <c r="B9" s="18">
        <v>98.2</v>
      </c>
      <c r="C9" s="1">
        <v>1804</v>
      </c>
      <c r="D9" s="18">
        <v>68.2</v>
      </c>
      <c r="E9" s="12">
        <f t="shared" si="0"/>
        <v>6697.2400000000007</v>
      </c>
      <c r="F9" s="2">
        <f t="shared" si="1"/>
        <v>123032.8</v>
      </c>
      <c r="G9" s="2">
        <f t="shared" si="2"/>
        <v>9643.24</v>
      </c>
      <c r="H9" s="2">
        <f t="shared" si="3"/>
        <v>3254416</v>
      </c>
      <c r="I9" s="2">
        <f t="shared" si="4"/>
        <v>4651.2400000000007</v>
      </c>
      <c r="J9" s="2">
        <f t="shared" si="5"/>
        <v>177152.80000000002</v>
      </c>
      <c r="K9" s="1">
        <f t="shared" si="6"/>
        <v>63.911227425079232</v>
      </c>
      <c r="L9" s="3">
        <f t="shared" si="7"/>
        <v>18.393570199392535</v>
      </c>
      <c r="M9" s="4"/>
      <c r="N9" s="4"/>
      <c r="O9" s="4"/>
      <c r="P9" s="4"/>
      <c r="Q9" s="4"/>
      <c r="R9" s="4"/>
      <c r="S9" s="41"/>
      <c r="T9" s="41"/>
      <c r="U9" s="42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ht="15.75" x14ac:dyDescent="0.25">
      <c r="A10" s="1">
        <v>9</v>
      </c>
      <c r="B10" s="18">
        <v>97.8</v>
      </c>
      <c r="C10" s="1">
        <v>1727</v>
      </c>
      <c r="D10" s="18">
        <v>69.2</v>
      </c>
      <c r="E10" s="12">
        <f t="shared" si="0"/>
        <v>6767.76</v>
      </c>
      <c r="F10" s="2">
        <f t="shared" si="1"/>
        <v>119508.40000000001</v>
      </c>
      <c r="G10" s="2">
        <f t="shared" si="2"/>
        <v>9564.84</v>
      </c>
      <c r="H10" s="2">
        <f t="shared" si="3"/>
        <v>2982529</v>
      </c>
      <c r="I10" s="2">
        <f t="shared" si="4"/>
        <v>4788.6400000000003</v>
      </c>
      <c r="J10" s="2">
        <f t="shared" si="5"/>
        <v>168900.6</v>
      </c>
      <c r="K10" s="1">
        <f t="shared" si="6"/>
        <v>49.962720858998523</v>
      </c>
      <c r="L10" s="3">
        <f t="shared" si="7"/>
        <v>370.07290874881062</v>
      </c>
      <c r="M10" s="4"/>
      <c r="N10" s="4"/>
      <c r="O10" s="4"/>
      <c r="P10" s="4"/>
      <c r="Q10" s="4"/>
      <c r="R10" s="4"/>
      <c r="S10" s="41"/>
      <c r="T10" s="41"/>
      <c r="U10" s="42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15.75" x14ac:dyDescent="0.25">
      <c r="A11" s="1">
        <v>10</v>
      </c>
      <c r="B11" s="18">
        <v>78.400000000000006</v>
      </c>
      <c r="C11" s="1">
        <v>1730</v>
      </c>
      <c r="D11" s="18">
        <v>62.7</v>
      </c>
      <c r="E11" s="12">
        <f t="shared" si="0"/>
        <v>4915.68</v>
      </c>
      <c r="F11" s="2">
        <f t="shared" si="1"/>
        <v>108471</v>
      </c>
      <c r="G11" s="2">
        <f>B11*B11</f>
        <v>6146.5600000000013</v>
      </c>
      <c r="H11" s="2">
        <f>C11*C11</f>
        <v>2992900</v>
      </c>
      <c r="I11" s="2">
        <f>D11*D11</f>
        <v>3931.2900000000004</v>
      </c>
      <c r="J11" s="2">
        <f t="shared" si="5"/>
        <v>135632</v>
      </c>
      <c r="K11" s="1">
        <f t="shared" si="6"/>
        <v>52.50387532545426</v>
      </c>
      <c r="L11" s="3">
        <f t="shared" si="7"/>
        <v>103.96095837888053</v>
      </c>
      <c r="M11" s="4"/>
      <c r="N11" s="4"/>
      <c r="O11" s="4"/>
      <c r="P11" s="4"/>
      <c r="Q11" s="4"/>
      <c r="R11" s="4"/>
      <c r="S11" s="41"/>
      <c r="T11" s="41"/>
      <c r="U11" s="42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ht="15.75" x14ac:dyDescent="0.25">
      <c r="A12" s="13" t="s">
        <v>7</v>
      </c>
      <c r="B12" s="13">
        <f>SUM(B2:B11)</f>
        <v>853.4</v>
      </c>
      <c r="C12" s="13">
        <f t="shared" ref="C12:L12" si="8">SUM(C2:C11)</f>
        <v>17895</v>
      </c>
      <c r="D12" s="13">
        <f t="shared" si="8"/>
        <v>626</v>
      </c>
      <c r="E12" s="13">
        <f t="shared" si="8"/>
        <v>53487.35</v>
      </c>
      <c r="F12" s="13">
        <f t="shared" si="8"/>
        <v>1128288</v>
      </c>
      <c r="G12" s="13">
        <f t="shared" si="8"/>
        <v>79056.22</v>
      </c>
      <c r="H12" s="13">
        <f t="shared" si="8"/>
        <v>32069669</v>
      </c>
      <c r="I12" s="13">
        <f t="shared" si="8"/>
        <v>42697.18</v>
      </c>
      <c r="J12" s="13">
        <f t="shared" si="8"/>
        <v>1531040.9000000001</v>
      </c>
      <c r="K12" s="13">
        <f t="shared" si="8"/>
        <v>626.00000000002626</v>
      </c>
      <c r="L12" s="13">
        <f t="shared" si="8"/>
        <v>2051.6633215271436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ht="15.75" x14ac:dyDescent="0.25">
      <c r="A13" s="6" t="s">
        <v>15</v>
      </c>
      <c r="B13" s="5">
        <f>B12/$A$11</f>
        <v>85.34</v>
      </c>
      <c r="C13" s="5">
        <f t="shared" ref="C13:L13" si="9">C12/$A$11</f>
        <v>1789.5</v>
      </c>
      <c r="D13" s="5">
        <f t="shared" si="9"/>
        <v>62.6</v>
      </c>
      <c r="E13" s="5">
        <f t="shared" si="9"/>
        <v>5348.7349999999997</v>
      </c>
      <c r="F13" s="5">
        <f t="shared" si="9"/>
        <v>112828.8</v>
      </c>
      <c r="G13" s="5">
        <f t="shared" si="9"/>
        <v>7905.6220000000003</v>
      </c>
      <c r="H13" s="5">
        <f t="shared" si="9"/>
        <v>3206966.9</v>
      </c>
      <c r="I13" s="5">
        <f t="shared" si="9"/>
        <v>4269.7179999999998</v>
      </c>
      <c r="J13" s="5">
        <f t="shared" si="9"/>
        <v>153104.09000000003</v>
      </c>
      <c r="K13" s="5">
        <f t="shared" si="9"/>
        <v>62.600000000002623</v>
      </c>
      <c r="L13" s="5">
        <f t="shared" si="9"/>
        <v>205.16633215271435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ht="15.75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ht="15" customHeight="1" x14ac:dyDescent="0.25">
      <c r="A15" s="19">
        <f>$D$12</f>
        <v>626</v>
      </c>
      <c r="B15" s="19">
        <f>$A$11</f>
        <v>10</v>
      </c>
      <c r="C15" s="19">
        <f>$B$12</f>
        <v>853.4</v>
      </c>
      <c r="D15" s="19">
        <f>$C$12</f>
        <v>17895</v>
      </c>
      <c r="E15" s="20"/>
      <c r="F15" s="19">
        <f>$D$12</f>
        <v>626</v>
      </c>
      <c r="G15" s="19">
        <f>$B$12</f>
        <v>853.4</v>
      </c>
      <c r="H15" s="19">
        <f>$C$12</f>
        <v>17895</v>
      </c>
      <c r="I15" s="20"/>
      <c r="J15" s="19">
        <f>$A$11</f>
        <v>10</v>
      </c>
      <c r="K15" s="19">
        <f>$D$12</f>
        <v>626</v>
      </c>
      <c r="L15" s="19">
        <f>$C$12</f>
        <v>17895</v>
      </c>
      <c r="M15" s="20"/>
      <c r="N15" s="19">
        <f>$A$11</f>
        <v>10</v>
      </c>
      <c r="O15" s="19">
        <f>$B$12</f>
        <v>853.4</v>
      </c>
      <c r="P15" s="19">
        <f>$D$12</f>
        <v>626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ht="15.75" x14ac:dyDescent="0.25">
      <c r="A16" s="19">
        <f>$E$12</f>
        <v>53487.35</v>
      </c>
      <c r="B16" s="21">
        <f>$B$12</f>
        <v>853.4</v>
      </c>
      <c r="C16" s="19">
        <f>$G$12</f>
        <v>79056.22</v>
      </c>
      <c r="D16" s="19">
        <f>$J$12</f>
        <v>1531040.9000000001</v>
      </c>
      <c r="E16" s="15"/>
      <c r="F16" s="19">
        <f>$E$12</f>
        <v>53487.35</v>
      </c>
      <c r="G16" s="19">
        <f>$G$12</f>
        <v>79056.22</v>
      </c>
      <c r="H16" s="19">
        <f>$J$12</f>
        <v>1531040.9000000001</v>
      </c>
      <c r="I16" s="15"/>
      <c r="J16" s="21">
        <f>$B$12</f>
        <v>853.4</v>
      </c>
      <c r="K16" s="19">
        <f>$E$12</f>
        <v>53487.35</v>
      </c>
      <c r="L16" s="19">
        <f>$J$12</f>
        <v>1531040.9000000001</v>
      </c>
      <c r="M16" s="15"/>
      <c r="N16" s="21">
        <f>$B$12</f>
        <v>853.4</v>
      </c>
      <c r="O16" s="19">
        <f>$G$12</f>
        <v>79056.22</v>
      </c>
      <c r="P16" s="19">
        <f>$E$12</f>
        <v>53487.35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15.75" x14ac:dyDescent="0.25">
      <c r="A17" s="19">
        <f>$F$12</f>
        <v>1128288</v>
      </c>
      <c r="B17" s="19">
        <f>$C$12</f>
        <v>17895</v>
      </c>
      <c r="C17" s="19">
        <f>$J$12</f>
        <v>1531040.9000000001</v>
      </c>
      <c r="D17" s="19">
        <f>$H$12</f>
        <v>32069669</v>
      </c>
      <c r="E17" s="15"/>
      <c r="F17" s="19">
        <f>$F$12</f>
        <v>1128288</v>
      </c>
      <c r="G17" s="19">
        <f>$J$12</f>
        <v>1531040.9000000001</v>
      </c>
      <c r="H17" s="19">
        <f>$H$12</f>
        <v>32069669</v>
      </c>
      <c r="I17" s="15"/>
      <c r="J17" s="19">
        <f>$C$12</f>
        <v>17895</v>
      </c>
      <c r="K17" s="20">
        <f>$F$12</f>
        <v>1128288</v>
      </c>
      <c r="L17" s="36">
        <f>$H$12</f>
        <v>32069669</v>
      </c>
      <c r="M17" s="38"/>
      <c r="N17" s="37">
        <f>$C$12</f>
        <v>17895</v>
      </c>
      <c r="O17" s="20">
        <f>$J$12</f>
        <v>1531040.9000000001</v>
      </c>
      <c r="P17" s="20">
        <f>$F$12</f>
        <v>1128288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5.75" x14ac:dyDescent="0.25">
      <c r="A18" s="22"/>
      <c r="B18" s="15"/>
      <c r="C18" s="15"/>
      <c r="D18" s="23"/>
      <c r="E18" s="23"/>
      <c r="F18" s="15"/>
      <c r="G18" s="15"/>
      <c r="H18" s="15"/>
      <c r="I18" s="15"/>
      <c r="J18" s="30"/>
      <c r="K18" s="31"/>
      <c r="L18" s="31"/>
      <c r="M18" s="30"/>
      <c r="N18" s="31"/>
      <c r="O18" s="31"/>
      <c r="P18" s="32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5.75" x14ac:dyDescent="0.25">
      <c r="A19" s="19" t="s">
        <v>8</v>
      </c>
      <c r="B19" s="19">
        <f>MDETERM(B15:D17)</f>
        <v>2749057571.9601545</v>
      </c>
      <c r="C19" s="15"/>
      <c r="D19" s="25" t="s">
        <v>12</v>
      </c>
      <c r="E19" s="19">
        <f>B20/B19</f>
        <v>-253.74261545904702</v>
      </c>
      <c r="F19" s="15"/>
      <c r="G19" s="15"/>
      <c r="H19" s="15"/>
      <c r="I19" s="15"/>
      <c r="J19" s="30"/>
      <c r="K19" s="30"/>
      <c r="L19" s="30"/>
      <c r="M19" s="30"/>
      <c r="N19" s="30"/>
      <c r="O19" s="30"/>
      <c r="P19" s="33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ht="15.75" x14ac:dyDescent="0.25">
      <c r="A20" s="19" t="s">
        <v>9</v>
      </c>
      <c r="B20" s="19">
        <f>MDETERM(F15:H17)</f>
        <v>-697553058356.66699</v>
      </c>
      <c r="C20" s="15"/>
      <c r="D20" s="25" t="s">
        <v>13</v>
      </c>
      <c r="E20" s="19">
        <f>B21/B19</f>
        <v>-0.10289188910959984</v>
      </c>
      <c r="F20" s="15"/>
      <c r="G20" s="15"/>
      <c r="H20" s="15"/>
      <c r="I20" s="15"/>
      <c r="J20" s="30"/>
      <c r="K20" s="30"/>
      <c r="L20" s="30"/>
      <c r="M20" s="30"/>
      <c r="N20" s="30"/>
      <c r="O20" s="30"/>
      <c r="P20" s="33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5.75" x14ac:dyDescent="0.25">
      <c r="A21" s="19" t="s">
        <v>10</v>
      </c>
      <c r="B21" s="19">
        <f>MDETERM(J15:L17)</f>
        <v>-282855726.85003</v>
      </c>
      <c r="C21" s="15"/>
      <c r="D21" s="25" t="s">
        <v>14</v>
      </c>
      <c r="E21" s="19">
        <f>B22/B19</f>
        <v>0.18168393924317569</v>
      </c>
      <c r="F21" s="15"/>
      <c r="G21" s="15"/>
      <c r="H21" s="15"/>
      <c r="I21" s="15"/>
      <c r="J21" s="30"/>
      <c r="K21" s="30"/>
      <c r="L21" s="30"/>
      <c r="M21" s="30"/>
      <c r="N21" s="30"/>
      <c r="O21" s="30"/>
      <c r="P21" s="33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5.75" x14ac:dyDescent="0.25">
      <c r="A22" s="19" t="s">
        <v>11</v>
      </c>
      <c r="B22" s="19">
        <f>MDETERM(N15:P17)</f>
        <v>499459608.88000083</v>
      </c>
      <c r="C22" s="24"/>
      <c r="D22" s="24"/>
      <c r="E22" s="24"/>
      <c r="F22" s="24"/>
      <c r="G22" s="24"/>
      <c r="H22" s="24"/>
      <c r="I22" s="24"/>
      <c r="J22" s="34"/>
      <c r="K22" s="34"/>
      <c r="L22" s="34"/>
      <c r="M22" s="34"/>
      <c r="N22" s="34"/>
      <c r="O22" s="34"/>
      <c r="P22" s="3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ht="15.75" x14ac:dyDescent="0.25">
      <c r="A24" s="19" t="s">
        <v>16</v>
      </c>
      <c r="B24" s="19">
        <f>SQRT(G13-POWER(B13,2))</f>
        <v>24.954085837794178</v>
      </c>
      <c r="C24" s="4"/>
      <c r="D24" s="6" t="s">
        <v>24</v>
      </c>
      <c r="E24" s="19">
        <f>ABS(E20)*(B24*SQRT(1-B29^2)*SQRT(10-2-1))/(B26*SQRT(1-B30^2))</f>
        <v>0.46177693076322057</v>
      </c>
      <c r="F24" s="4"/>
      <c r="G24" s="6" t="s">
        <v>30</v>
      </c>
      <c r="H24" s="19">
        <f>E20*(B13)/(D13)</f>
        <v>-0.14026827183088258</v>
      </c>
      <c r="I24" s="4"/>
      <c r="J24" s="4"/>
      <c r="K24" s="4"/>
      <c r="L24" s="4"/>
      <c r="M24" s="4"/>
      <c r="N24" s="4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15.75" x14ac:dyDescent="0.25">
      <c r="A25" s="19" t="s">
        <v>17</v>
      </c>
      <c r="B25" s="19">
        <f>SQRT(H13-POWER(C13,2))</f>
        <v>68.239651230057632</v>
      </c>
      <c r="C25" s="4"/>
      <c r="D25" s="6" t="s">
        <v>25</v>
      </c>
      <c r="E25" s="19">
        <f>ABS(E21)*(B25*SQRT(1-B29^2)*SQRT(10-2-1))/(B26*SQRT(1-B30^2))</f>
        <v>2.2297838382379864</v>
      </c>
      <c r="F25" s="4"/>
      <c r="G25" s="6" t="s">
        <v>31</v>
      </c>
      <c r="H25" s="19">
        <f>E21*(C13)/(D13)</f>
        <v>5.1936646849147428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ht="15.75" x14ac:dyDescent="0.25">
      <c r="A26" s="19" t="s">
        <v>18</v>
      </c>
      <c r="B26" s="19">
        <f>SQRT(I13-POWER(D13,2))</f>
        <v>18.733873064585435</v>
      </c>
      <c r="C26" s="4"/>
      <c r="D26" s="19" t="s">
        <v>26</v>
      </c>
      <c r="E26" s="19">
        <f>3-1</f>
        <v>2</v>
      </c>
      <c r="F26" s="4"/>
      <c r="G26" s="19" t="s">
        <v>32</v>
      </c>
      <c r="H26" s="19">
        <f>E20*(B24)/(B26)</f>
        <v>-0.13705510996055062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5.75" x14ac:dyDescent="0.25">
      <c r="A27" s="19" t="s">
        <v>19</v>
      </c>
      <c r="B27" s="19">
        <f>(E13-D13*B13)/(B26*B24)</f>
        <v>1.3799323753802552E-2</v>
      </c>
      <c r="C27" s="4"/>
      <c r="D27" s="19" t="s">
        <v>27</v>
      </c>
      <c r="E27" s="19">
        <f>10-2</f>
        <v>8</v>
      </c>
      <c r="F27" s="4"/>
      <c r="G27" s="19" t="s">
        <v>33</v>
      </c>
      <c r="H27" s="19">
        <f>E21*(B25)/(B26)</f>
        <v>0.66179847623151644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ht="15.75" x14ac:dyDescent="0.25">
      <c r="A28" s="19" t="s">
        <v>20</v>
      </c>
      <c r="B28" s="19">
        <f>(F13-D13*C13)/(B26*B25)</f>
        <v>0.6305572876472656</v>
      </c>
      <c r="C28" s="4"/>
      <c r="D28" s="6" t="s">
        <v>28</v>
      </c>
      <c r="E28" s="19">
        <f>(B26^2)/(E29)*(E27)/(E26)</f>
        <v>6.8424092065703288</v>
      </c>
      <c r="F28" s="4"/>
      <c r="G28" s="6" t="s">
        <v>34</v>
      </c>
      <c r="H28" s="19">
        <f>(H26*B27)/B30^2</f>
        <v>-4.5527675651613961E-3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5.75" x14ac:dyDescent="0.25">
      <c r="A29" s="19" t="s">
        <v>21</v>
      </c>
      <c r="B29" s="19">
        <f>(J13-B13*C13)/(B25*B24)</f>
        <v>0.22794617868171005</v>
      </c>
      <c r="C29" s="4"/>
      <c r="D29" s="20" t="s">
        <v>29</v>
      </c>
      <c r="E29" s="20">
        <f>L12/A11</f>
        <v>205.16633215271435</v>
      </c>
      <c r="F29" s="4"/>
      <c r="G29" s="7" t="s">
        <v>35</v>
      </c>
      <c r="H29" s="20">
        <f>(H27*B28)/B30^2</f>
        <v>1.0045527675650687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5.75" x14ac:dyDescent="0.25">
      <c r="A30" s="6" t="s">
        <v>22</v>
      </c>
      <c r="B30" s="19">
        <f>SQRT((POWER(B27,2)+POWER(B28,2)-2*B27*B28*B29)/(1-POWER(B29,2)))</f>
        <v>0.64452353278000507</v>
      </c>
      <c r="C30" s="4"/>
      <c r="D30" s="26"/>
      <c r="E30" s="26"/>
      <c r="F30" s="4"/>
      <c r="G30" s="26"/>
      <c r="H30" s="2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5.75" x14ac:dyDescent="0.25">
      <c r="A31" s="7" t="s">
        <v>23</v>
      </c>
      <c r="B31" s="20">
        <f>B30^2</f>
        <v>0.41541058430721828</v>
      </c>
      <c r="C31" s="4"/>
      <c r="D31" s="27"/>
      <c r="E31" s="27"/>
      <c r="F31" s="4"/>
      <c r="G31" s="27"/>
      <c r="H31" s="2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5.75" x14ac:dyDescent="0.25">
      <c r="A32" s="26"/>
      <c r="B32" s="2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15.75" x14ac:dyDescent="0.25">
      <c r="A33" s="29"/>
      <c r="B33" s="2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5.7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5.7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15.7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5.7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5.7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15.7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5.7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ht="15.7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ht="15.7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ht="15.7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ht="15.7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ht="15.7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ht="15.7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ht="15.7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ht="15.7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ht="15.7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ht="15.7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15.7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ht="15.7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ht="15.7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ht="15.7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ht="15.7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5.7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ht="15.7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 ht="15.7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ht="15.7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 ht="15.7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 ht="15.7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 ht="15.7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 ht="15.7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 ht="15.7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ht="15.7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ht="15.7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ht="15.7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ht="15.7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 ht="15.7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 ht="15.7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ht="15.7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ht="15.7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ht="15.7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ht="15.7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</dc:creator>
  <cp:lastModifiedBy>1111</cp:lastModifiedBy>
  <dcterms:created xsi:type="dcterms:W3CDTF">2026-02-22T12:01:38Z</dcterms:created>
  <dcterms:modified xsi:type="dcterms:W3CDTF">2026-02-23T08:41:26Z</dcterms:modified>
</cp:coreProperties>
</file>
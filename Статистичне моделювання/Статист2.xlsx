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b\OneDrive\Робочий стіл\"/>
    </mc:Choice>
  </mc:AlternateContent>
  <xr:revisionPtr revIDLastSave="0" documentId="13_ncr:1_{7DB49BCD-394C-450A-AF84-CE7515E7AB3D}" xr6:coauthVersionLast="47" xr6:coauthVersionMax="47" xr10:uidLastSave="{00000000-0000-0000-0000-000000000000}"/>
  <bookViews>
    <workbookView xWindow="-120" yWindow="-120" windowWidth="29040" windowHeight="15720" xr2:uid="{A0ACCFB8-1048-43D2-9855-1E11616FED40}"/>
  </bookViews>
  <sheets>
    <sheet name="Аркуш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11" i="1" l="1"/>
  <c r="K3" i="1"/>
  <c r="K4" i="1"/>
  <c r="K5" i="1"/>
  <c r="K6" i="1"/>
  <c r="K7" i="1"/>
  <c r="K8" i="1"/>
  <c r="K9" i="1"/>
  <c r="K10" i="1"/>
  <c r="K2" i="1"/>
  <c r="P6" i="1"/>
  <c r="Z4" i="1"/>
  <c r="Y4" i="1"/>
  <c r="X4" i="1"/>
  <c r="V4" i="1"/>
  <c r="U4" i="1"/>
  <c r="T4" i="1"/>
  <c r="R4" i="1"/>
  <c r="Q4" i="1"/>
  <c r="P4" i="1"/>
  <c r="O4" i="1"/>
  <c r="Z3" i="1"/>
  <c r="Y3" i="1"/>
  <c r="X3" i="1"/>
  <c r="V3" i="1"/>
  <c r="U3" i="1"/>
  <c r="T3" i="1"/>
  <c r="R3" i="1"/>
  <c r="Q3" i="1"/>
  <c r="P3" i="1"/>
  <c r="O3" i="1"/>
  <c r="P9" i="1" s="1"/>
  <c r="S8" i="1" s="1"/>
  <c r="Z2" i="1"/>
  <c r="Y2" i="1"/>
  <c r="X2" i="1"/>
  <c r="P8" i="1" s="1"/>
  <c r="S7" i="1" s="1"/>
  <c r="V2" i="1"/>
  <c r="U2" i="1"/>
  <c r="T2" i="1"/>
  <c r="P7" i="1" s="1"/>
  <c r="S6" i="1" s="1"/>
  <c r="R2" i="1"/>
  <c r="Q2" i="1"/>
  <c r="P2" i="1"/>
  <c r="O2" i="1"/>
  <c r="C11" i="1"/>
  <c r="C12" i="1" s="1"/>
  <c r="B11" i="1"/>
  <c r="G3" i="1"/>
  <c r="G4" i="1"/>
  <c r="G5" i="1"/>
  <c r="G6" i="1"/>
  <c r="G7" i="1"/>
  <c r="G8" i="1"/>
  <c r="G9" i="1"/>
  <c r="G10" i="1"/>
  <c r="G2" i="1"/>
  <c r="F3" i="1"/>
  <c r="F4" i="1"/>
  <c r="F5" i="1"/>
  <c r="F6" i="1"/>
  <c r="F7" i="1"/>
  <c r="F8" i="1"/>
  <c r="F9" i="1"/>
  <c r="F10" i="1"/>
  <c r="F2" i="1"/>
  <c r="E3" i="1"/>
  <c r="E4" i="1"/>
  <c r="E5" i="1"/>
  <c r="E6" i="1"/>
  <c r="E7" i="1"/>
  <c r="E8" i="1"/>
  <c r="E9" i="1"/>
  <c r="E10" i="1"/>
  <c r="E2" i="1"/>
  <c r="D3" i="1"/>
  <c r="H3" i="1" s="1"/>
  <c r="D4" i="1"/>
  <c r="H4" i="1" s="1"/>
  <c r="D5" i="1"/>
  <c r="H5" i="1" s="1"/>
  <c r="D6" i="1"/>
  <c r="H6" i="1" s="1"/>
  <c r="D7" i="1"/>
  <c r="H7" i="1" s="1"/>
  <c r="D8" i="1"/>
  <c r="H8" i="1" s="1"/>
  <c r="D9" i="1"/>
  <c r="H9" i="1" s="1"/>
  <c r="D10" i="1"/>
  <c r="H10" i="1" s="1"/>
  <c r="D2" i="1"/>
  <c r="H2" i="1" s="1"/>
  <c r="H11" i="1" l="1"/>
  <c r="F11" i="1"/>
  <c r="G11" i="1"/>
  <c r="E11" i="1"/>
  <c r="D11" i="1"/>
  <c r="J6" i="1"/>
  <c r="I8" i="1"/>
  <c r="J7" i="1"/>
  <c r="I9" i="1"/>
  <c r="J8" i="1"/>
  <c r="I10" i="1"/>
  <c r="I3" i="1"/>
  <c r="I4" i="1"/>
  <c r="J4" i="1"/>
  <c r="J5" i="1"/>
  <c r="J9" i="1"/>
  <c r="J3" i="1"/>
  <c r="I7" i="1"/>
  <c r="J10" i="1"/>
  <c r="I2" i="1"/>
  <c r="I5" i="1"/>
  <c r="J2" i="1"/>
  <c r="I6" i="1"/>
  <c r="J11" i="1" l="1"/>
  <c r="I11" i="1"/>
  <c r="L5" i="1" l="1"/>
  <c r="K11" i="1" l="1"/>
  <c r="M5" i="1"/>
  <c r="L3" i="1"/>
  <c r="M3" i="1"/>
  <c r="L8" i="1"/>
  <c r="M8" i="1"/>
  <c r="M2" i="1"/>
  <c r="L2" i="1"/>
  <c r="L6" i="1"/>
  <c r="M6" i="1"/>
  <c r="L7" i="1"/>
  <c r="M7" i="1"/>
  <c r="M10" i="1"/>
  <c r="L10" i="1"/>
  <c r="L9" i="1"/>
  <c r="M9" i="1"/>
  <c r="L4" i="1"/>
  <c r="M4" i="1"/>
  <c r="L11" i="1" l="1"/>
  <c r="M11" i="1"/>
  <c r="P13" i="1"/>
  <c r="P14" i="1" s="1"/>
</calcChain>
</file>

<file path=xl/sharedStrings.xml><?xml version="1.0" encoding="utf-8"?>
<sst xmlns="http://schemas.openxmlformats.org/spreadsheetml/2006/main" count="25" uniqueCount="25">
  <si>
    <t>№ п/п</t>
  </si>
  <si>
    <t>xy</t>
  </si>
  <si>
    <t>y-y_</t>
  </si>
  <si>
    <t>(y-y_)2</t>
  </si>
  <si>
    <t>y^</t>
  </si>
  <si>
    <t>y^-y_</t>
  </si>
  <si>
    <t>Всього</t>
  </si>
  <si>
    <t xml:space="preserve">В середньому </t>
  </si>
  <si>
    <r>
      <t>x</t>
    </r>
    <r>
      <rPr>
        <vertAlign val="superscript"/>
        <sz val="12"/>
        <color theme="1"/>
        <rFont val="Calibri"/>
        <family val="2"/>
        <charset val="204"/>
        <scheme val="minor"/>
      </rPr>
      <t>2</t>
    </r>
  </si>
  <si>
    <r>
      <t>x</t>
    </r>
    <r>
      <rPr>
        <vertAlign val="superscript"/>
        <sz val="12"/>
        <color theme="1"/>
        <rFont val="Calibri"/>
        <family val="2"/>
        <charset val="204"/>
        <scheme val="minor"/>
      </rPr>
      <t>3</t>
    </r>
  </si>
  <si>
    <r>
      <t>x</t>
    </r>
    <r>
      <rPr>
        <vertAlign val="superscript"/>
        <sz val="12"/>
        <color theme="1"/>
        <rFont val="Calibri"/>
        <family val="2"/>
        <charset val="204"/>
        <scheme val="minor"/>
      </rPr>
      <t>4</t>
    </r>
  </si>
  <si>
    <r>
      <t>x</t>
    </r>
    <r>
      <rPr>
        <vertAlign val="superscript"/>
        <sz val="12"/>
        <color theme="1"/>
        <rFont val="Calibri"/>
        <family val="2"/>
        <charset val="204"/>
        <scheme val="minor"/>
      </rPr>
      <t>2</t>
    </r>
    <r>
      <rPr>
        <sz val="12"/>
        <color theme="1"/>
        <rFont val="Calibri"/>
        <family val="2"/>
        <charset val="204"/>
        <scheme val="minor"/>
      </rPr>
      <t>y</t>
    </r>
  </si>
  <si>
    <r>
      <t>(y^-y_)</t>
    </r>
    <r>
      <rPr>
        <vertAlign val="superscript"/>
        <sz val="12"/>
        <color theme="1"/>
        <rFont val="Calibri"/>
        <family val="2"/>
        <charset val="204"/>
        <scheme val="minor"/>
      </rPr>
      <t>2</t>
    </r>
  </si>
  <si>
    <t>Дельта</t>
  </si>
  <si>
    <t>Дельта0</t>
  </si>
  <si>
    <t>Дельта1</t>
  </si>
  <si>
    <t>Дельта2</t>
  </si>
  <si>
    <t>a1=</t>
  </si>
  <si>
    <t>a0=</t>
  </si>
  <si>
    <t>a2=</t>
  </si>
  <si>
    <t>Nx/y=</t>
  </si>
  <si>
    <t>Un=</t>
  </si>
  <si>
    <t>Tn=</t>
  </si>
  <si>
    <t>Вартість
виготовленої продукції У, тис грн</t>
  </si>
  <si>
    <t>Продуктивність праці одного робітника Х,
тис грн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</si>
</sst>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04"/>
      <scheme val="minor"/>
    </font>
    <font>
      <b/>
      <sz val="12"/>
      <color rgb="FF1F1F1F"/>
      <name val="Times New Roman"/>
      <family val="1"/>
      <charset val="204"/>
    </font>
    <font>
      <sz val="12"/>
      <color rgb="FF1F1F1F"/>
      <name val="Times New Roman"/>
      <family val="1"/>
      <charset val="204"/>
    </font>
    <font>
      <sz val="12"/>
      <color theme="1"/>
      <name val="Calibri"/>
      <family val="2"/>
      <charset val="204"/>
      <scheme val="minor"/>
    </font>
    <font>
      <vertAlign val="superscript"/>
      <sz val="12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Border="1"/>
    <xf numFmtId="0" fontId="2" fillId="0" borderId="1" xfId="0" applyFont="1" applyBorder="1" applyAlignment="1">
      <alignment horizontal="left" vertical="center" wrapText="1" indent="1" readingOrder="1"/>
    </xf>
    <xf numFmtId="0" fontId="0" fillId="0" borderId="1" xfId="0" applyBorder="1"/>
    <xf numFmtId="0" fontId="0" fillId="2" borderId="1" xfId="0" applyFill="1" applyBorder="1"/>
    <xf numFmtId="2" fontId="2" fillId="0" borderId="1" xfId="0" applyNumberFormat="1" applyFont="1" applyBorder="1" applyAlignment="1">
      <alignment horizontal="left" vertical="center" wrapText="1" indent="1" readingOrder="1"/>
    </xf>
    <xf numFmtId="2" fontId="3" fillId="0" borderId="1" xfId="0" applyNumberFormat="1" applyFont="1" applyBorder="1"/>
    <xf numFmtId="2" fontId="0" fillId="0" borderId="1" xfId="0" applyNumberFormat="1" applyBorder="1"/>
    <xf numFmtId="2" fontId="0" fillId="0" borderId="2" xfId="0" applyNumberFormat="1" applyBorder="1"/>
    <xf numFmtId="0" fontId="0" fillId="0" borderId="2" xfId="0" applyBorder="1"/>
    <xf numFmtId="0" fontId="0" fillId="0" borderId="1" xfId="0" applyBorder="1" applyAlignment="1">
      <alignment wrapText="1"/>
    </xf>
    <xf numFmtId="0" fontId="1" fillId="3" borderId="1" xfId="0" applyFont="1" applyFill="1" applyBorder="1" applyAlignment="1">
      <alignment horizontal="left" vertical="center" wrapText="1" indent="1" readingOrder="1"/>
    </xf>
    <xf numFmtId="0" fontId="3" fillId="3" borderId="1" xfId="0" applyFont="1" applyFill="1" applyBorder="1" applyAlignment="1">
      <alignment vertical="center"/>
    </xf>
    <xf numFmtId="0" fontId="3" fillId="0" borderId="1" xfId="0" applyFont="1" applyFill="1" applyBorder="1"/>
    <xf numFmtId="2" fontId="3" fillId="0" borderId="1" xfId="0" applyNumberFormat="1" applyFont="1" applyFill="1" applyBorder="1"/>
    <xf numFmtId="0" fontId="0" fillId="0" borderId="0" xfId="0" applyFill="1" applyBorder="1" applyAlignment="1"/>
    <xf numFmtId="0" fontId="0" fillId="0" borderId="0" xfId="0" applyFill="1" applyBorder="1" applyAlignment="1">
      <alignment wrapText="1"/>
    </xf>
    <xf numFmtId="2" fontId="0" fillId="0" borderId="0" xfId="0" applyNumberFormat="1" applyFill="1" applyBorder="1"/>
    <xf numFmtId="0" fontId="0" fillId="0" borderId="0" xfId="0" applyFill="1" applyBorder="1"/>
    <xf numFmtId="0" fontId="0" fillId="0" borderId="5" xfId="0" applyFill="1" applyBorder="1" applyAlignment="1"/>
    <xf numFmtId="0" fontId="0" fillId="0" borderId="0" xfId="0" applyFill="1" applyBorder="1" applyAlignment="1">
      <alignment horizontal="center"/>
    </xf>
    <xf numFmtId="0" fontId="0" fillId="0" borderId="0" xfId="0" applyFill="1" applyBorder="1" applyAlignment="1">
      <alignment horizontal="center" wrapText="1"/>
    </xf>
    <xf numFmtId="0" fontId="0" fillId="0" borderId="4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4" xfId="0" applyFill="1" applyBorder="1" applyAlignment="1">
      <alignment horizontal="center" wrapText="1"/>
    </xf>
    <xf numFmtId="0" fontId="0" fillId="0" borderId="3" xfId="0" applyFill="1" applyBorder="1" applyAlignment="1">
      <alignment horizontal="center" wrapText="1"/>
    </xf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Емпір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Аркуш1!$B$2:$B$10</c:f>
              <c:numCache>
                <c:formatCode>0.00</c:formatCode>
                <c:ptCount val="9"/>
                <c:pt idx="0">
                  <c:v>1.8</c:v>
                </c:pt>
                <c:pt idx="1">
                  <c:v>2</c:v>
                </c:pt>
                <c:pt idx="2">
                  <c:v>2.1</c:v>
                </c:pt>
                <c:pt idx="3">
                  <c:v>2.2000000000000002</c:v>
                </c:pt>
                <c:pt idx="4">
                  <c:v>2.35</c:v>
                </c:pt>
                <c:pt idx="5">
                  <c:v>2.44</c:v>
                </c:pt>
                <c:pt idx="6">
                  <c:v>2.54</c:v>
                </c:pt>
                <c:pt idx="7">
                  <c:v>2.6</c:v>
                </c:pt>
                <c:pt idx="8">
                  <c:v>2.63</c:v>
                </c:pt>
              </c:numCache>
            </c:numRef>
          </c:xVal>
          <c:yVal>
            <c:numRef>
              <c:f>Аркуш1!$C$2:$C$10</c:f>
              <c:numCache>
                <c:formatCode>0.00</c:formatCode>
                <c:ptCount val="9"/>
                <c:pt idx="0">
                  <c:v>43</c:v>
                </c:pt>
                <c:pt idx="1">
                  <c:v>46</c:v>
                </c:pt>
                <c:pt idx="2">
                  <c:v>51</c:v>
                </c:pt>
                <c:pt idx="3">
                  <c:v>57</c:v>
                </c:pt>
                <c:pt idx="4">
                  <c:v>60.5</c:v>
                </c:pt>
                <c:pt idx="5">
                  <c:v>62.1</c:v>
                </c:pt>
                <c:pt idx="6">
                  <c:v>63</c:v>
                </c:pt>
                <c:pt idx="7">
                  <c:v>65.3</c:v>
                </c:pt>
                <c:pt idx="8">
                  <c:v>70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5-70E2-4173-9B90-BF94CBE96403}"/>
            </c:ext>
          </c:extLst>
        </c:ser>
        <c:ser>
          <c:idx val="1"/>
          <c:order val="1"/>
          <c:tx>
            <c:v>Теорит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Аркуш1!$B$2:$B$10</c:f>
              <c:numCache>
                <c:formatCode>0.00</c:formatCode>
                <c:ptCount val="9"/>
                <c:pt idx="0">
                  <c:v>1.8</c:v>
                </c:pt>
                <c:pt idx="1">
                  <c:v>2</c:v>
                </c:pt>
                <c:pt idx="2">
                  <c:v>2.1</c:v>
                </c:pt>
                <c:pt idx="3">
                  <c:v>2.2000000000000002</c:v>
                </c:pt>
                <c:pt idx="4">
                  <c:v>2.35</c:v>
                </c:pt>
                <c:pt idx="5">
                  <c:v>2.44</c:v>
                </c:pt>
                <c:pt idx="6">
                  <c:v>2.54</c:v>
                </c:pt>
                <c:pt idx="7">
                  <c:v>2.6</c:v>
                </c:pt>
                <c:pt idx="8">
                  <c:v>2.63</c:v>
                </c:pt>
              </c:numCache>
            </c:numRef>
          </c:xVal>
          <c:yVal>
            <c:numRef>
              <c:f>Аркуш1!$K$2:$K$11</c:f>
              <c:numCache>
                <c:formatCode>0.00</c:formatCode>
                <c:ptCount val="10"/>
                <c:pt idx="0">
                  <c:v>42.06774841525241</c:v>
                </c:pt>
                <c:pt idx="1">
                  <c:v>48.451399860784065</c:v>
                </c:pt>
                <c:pt idx="2">
                  <c:v>51.596938012239228</c:v>
                </c:pt>
                <c:pt idx="3">
                  <c:v>54.711617782820618</c:v>
                </c:pt>
                <c:pt idx="4">
                  <c:v>59.325777974554356</c:v>
                </c:pt>
                <c:pt idx="5">
                  <c:v>62.060947038250902</c:v>
                </c:pt>
                <c:pt idx="6">
                  <c:v>65.070708313861445</c:v>
                </c:pt>
                <c:pt idx="7">
                  <c:v>66.861753056408347</c:v>
                </c:pt>
                <c:pt idx="8">
                  <c:v>67.753109546263843</c:v>
                </c:pt>
                <c:pt idx="9">
                  <c:v>517.90000000043528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6-70E2-4173-9B90-BF94CBE964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4847343"/>
        <c:axId val="2034849007"/>
      </c:scatterChart>
      <c:valAx>
        <c:axId val="2034847343"/>
        <c:scaling>
          <c:orientation val="minMax"/>
          <c:min val="1.700000000000000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UA"/>
          </a:p>
        </c:txPr>
        <c:crossAx val="2034849007"/>
        <c:crosses val="autoZero"/>
        <c:crossBetween val="midCat"/>
      </c:valAx>
      <c:valAx>
        <c:axId val="2034849007"/>
        <c:scaling>
          <c:orientation val="minMax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UA"/>
          </a:p>
        </c:txPr>
        <c:crossAx val="20348473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UA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UA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11112</xdr:colOff>
      <xdr:row>12</xdr:row>
      <xdr:rowOff>119062</xdr:rowOff>
    </xdr:from>
    <xdr:to>
      <xdr:col>9</xdr:col>
      <xdr:colOff>152400</xdr:colOff>
      <xdr:row>31</xdr:row>
      <xdr:rowOff>66675</xdr:rowOff>
    </xdr:to>
    <xdr:graphicFrame macro="">
      <xdr:nvGraphicFramePr>
        <xdr:cNvPr id="3" name="Діаграма 2">
          <a:extLst>
            <a:ext uri="{FF2B5EF4-FFF2-40B4-BE49-F238E27FC236}">
              <a16:creationId xmlns:a16="http://schemas.microsoft.com/office/drawing/2014/main" id="{24293BD5-A4CA-47F5-9AC8-901CCB570214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12FD1-7986-42B0-B394-42E7A07EE575}">
  <dimension ref="A1:Z32"/>
  <sheetViews>
    <sheetView tabSelected="1" topLeftCell="D1" zoomScaleNormal="100" workbookViewId="0">
      <selection activeCell="V10" sqref="V10"/>
    </sheetView>
  </sheetViews>
  <sheetFormatPr defaultRowHeight="15" x14ac:dyDescent="0.25"/>
  <cols>
    <col min="1" max="1" width="16.28515625" customWidth="1"/>
    <col min="2" max="2" width="16.140625" customWidth="1"/>
    <col min="3" max="3" width="21" customWidth="1"/>
    <col min="6" max="6" width="10.5703125" customWidth="1"/>
    <col min="9" max="9" width="8.7109375" customWidth="1"/>
    <col min="10" max="10" width="9.5703125" customWidth="1"/>
    <col min="11" max="11" width="11.28515625" customWidth="1"/>
    <col min="12" max="12" width="9" customWidth="1"/>
    <col min="13" max="13" width="9.28515625" customWidth="1"/>
    <col min="14" max="14" width="7.28515625" customWidth="1"/>
    <col min="16" max="16" width="20.42578125" customWidth="1"/>
  </cols>
  <sheetData>
    <row r="1" spans="1:26" ht="94.5" customHeight="1" x14ac:dyDescent="0.25">
      <c r="A1" s="11" t="s">
        <v>0</v>
      </c>
      <c r="B1" s="11" t="s">
        <v>24</v>
      </c>
      <c r="C1" s="11" t="s">
        <v>23</v>
      </c>
      <c r="D1" s="12" t="s">
        <v>8</v>
      </c>
      <c r="E1" s="12" t="s">
        <v>9</v>
      </c>
      <c r="F1" s="12" t="s">
        <v>10</v>
      </c>
      <c r="G1" s="12" t="s">
        <v>1</v>
      </c>
      <c r="H1" s="12" t="s">
        <v>11</v>
      </c>
      <c r="I1" s="12" t="s">
        <v>2</v>
      </c>
      <c r="J1" s="12" t="s">
        <v>3</v>
      </c>
      <c r="K1" s="12" t="s">
        <v>4</v>
      </c>
      <c r="L1" s="12" t="s">
        <v>5</v>
      </c>
      <c r="M1" s="12" t="s">
        <v>12</v>
      </c>
      <c r="O1" s="19"/>
      <c r="P1" s="19"/>
      <c r="Q1" s="19"/>
      <c r="R1" s="19"/>
      <c r="S1" s="15"/>
      <c r="T1" s="19"/>
      <c r="U1" s="19"/>
      <c r="V1" s="19"/>
      <c r="W1" s="15"/>
      <c r="X1" s="19"/>
      <c r="Y1" s="19"/>
      <c r="Z1" s="19"/>
    </row>
    <row r="2" spans="1:26" ht="15.75" x14ac:dyDescent="0.25">
      <c r="A2" s="2">
        <v>1</v>
      </c>
      <c r="B2" s="5">
        <v>1.8</v>
      </c>
      <c r="C2" s="5">
        <v>43</v>
      </c>
      <c r="D2" s="6">
        <f>POWER(B2,2)</f>
        <v>3.24</v>
      </c>
      <c r="E2" s="6">
        <f>POWER(B2,3)</f>
        <v>5.8320000000000007</v>
      </c>
      <c r="F2" s="6">
        <f>POWER(B2,4)</f>
        <v>10.497600000000002</v>
      </c>
      <c r="G2" s="6">
        <f>B2*C2</f>
        <v>77.400000000000006</v>
      </c>
      <c r="H2" s="6">
        <f>D2*C2</f>
        <v>139.32000000000002</v>
      </c>
      <c r="I2" s="6">
        <f t="shared" ref="I2:I10" si="0">C2-$C$12</f>
        <v>-14.544444444444451</v>
      </c>
      <c r="J2" s="6">
        <f t="shared" ref="J2:J10" si="1">POWER(C2-$C$12,2)</f>
        <v>211.54086419753108</v>
      </c>
      <c r="K2" s="6">
        <f>$S$6+B2*$S$7+D2*$S$8</f>
        <v>42.06774841525241</v>
      </c>
      <c r="L2" s="6">
        <f t="shared" ref="L2:L10" si="2">K2-$C$12</f>
        <v>-15.476696029192041</v>
      </c>
      <c r="M2" s="6">
        <f t="shared" ref="M2:M10" si="3">POWER(K2-$C$12,2)</f>
        <v>239.52811998000868</v>
      </c>
      <c r="O2" s="8">
        <f>$C$11</f>
        <v>517.90000000000009</v>
      </c>
      <c r="P2" s="9">
        <f>$A$10</f>
        <v>9</v>
      </c>
      <c r="Q2" s="8">
        <f>$B$11</f>
        <v>20.66</v>
      </c>
      <c r="R2" s="8">
        <f>$D$11</f>
        <v>48.0946</v>
      </c>
      <c r="T2" s="8">
        <f>$C$11</f>
        <v>517.90000000000009</v>
      </c>
      <c r="U2" s="8">
        <f>$B$11</f>
        <v>20.66</v>
      </c>
      <c r="V2" s="8">
        <f>$D$11</f>
        <v>48.0946</v>
      </c>
      <c r="X2" s="9">
        <f>$A$10</f>
        <v>9</v>
      </c>
      <c r="Y2" s="8">
        <f>$C$11</f>
        <v>517.90000000000009</v>
      </c>
      <c r="Z2" s="8">
        <f>$D$11</f>
        <v>48.0946</v>
      </c>
    </row>
    <row r="3" spans="1:26" ht="15.75" x14ac:dyDescent="0.25">
      <c r="A3" s="2">
        <v>2</v>
      </c>
      <c r="B3" s="5">
        <v>2</v>
      </c>
      <c r="C3" s="5">
        <v>46</v>
      </c>
      <c r="D3" s="6">
        <f t="shared" ref="D3:D10" si="4">POWER(B3,2)</f>
        <v>4</v>
      </c>
      <c r="E3" s="6">
        <f t="shared" ref="E3:E10" si="5">POWER(B3,3)</f>
        <v>8</v>
      </c>
      <c r="F3" s="6">
        <f t="shared" ref="F3:F10" si="6">POWER(B3,4)</f>
        <v>16</v>
      </c>
      <c r="G3" s="6">
        <f t="shared" ref="G3:G10" si="7">B3*C3</f>
        <v>92</v>
      </c>
      <c r="H3" s="6">
        <f t="shared" ref="H3:H10" si="8">D3*C3</f>
        <v>184</v>
      </c>
      <c r="I3" s="6">
        <f t="shared" si="0"/>
        <v>-11.544444444444451</v>
      </c>
      <c r="J3" s="6">
        <f t="shared" si="1"/>
        <v>133.27419753086437</v>
      </c>
      <c r="K3" s="6">
        <f t="shared" ref="K3:K10" si="9">$S$6+B3*$S$7+D3*$S$8</f>
        <v>48.451399860784065</v>
      </c>
      <c r="L3" s="6">
        <f t="shared" si="2"/>
        <v>-9.0930445836603866</v>
      </c>
      <c r="M3" s="6">
        <f t="shared" si="3"/>
        <v>82.6834598004355</v>
      </c>
      <c r="O3" s="7">
        <f>$G$11</f>
        <v>1209.499</v>
      </c>
      <c r="P3" s="7">
        <f>$B$11</f>
        <v>20.66</v>
      </c>
      <c r="Q3" s="7">
        <f>$D$11</f>
        <v>48.0946</v>
      </c>
      <c r="R3" s="7">
        <f>$E$11</f>
        <v>113.40017000000002</v>
      </c>
      <c r="T3" s="7">
        <f>$G$11</f>
        <v>1209.499</v>
      </c>
      <c r="U3" s="7">
        <f>$D$11</f>
        <v>48.0946</v>
      </c>
      <c r="V3" s="7">
        <f>$E$11</f>
        <v>113.40017000000002</v>
      </c>
      <c r="X3" s="7">
        <f>$B$11</f>
        <v>20.66</v>
      </c>
      <c r="Y3" s="7">
        <f>$G$11</f>
        <v>1209.499</v>
      </c>
      <c r="Z3" s="7">
        <f>$E$11</f>
        <v>113.40017000000002</v>
      </c>
    </row>
    <row r="4" spans="1:26" ht="15.75" x14ac:dyDescent="0.25">
      <c r="A4" s="2">
        <v>3</v>
      </c>
      <c r="B4" s="5">
        <v>2.1</v>
      </c>
      <c r="C4" s="5">
        <v>51</v>
      </c>
      <c r="D4" s="6">
        <f t="shared" si="4"/>
        <v>4.41</v>
      </c>
      <c r="E4" s="6">
        <f t="shared" si="5"/>
        <v>9.261000000000001</v>
      </c>
      <c r="F4" s="6">
        <f t="shared" si="6"/>
        <v>19.4481</v>
      </c>
      <c r="G4" s="6">
        <f t="shared" si="7"/>
        <v>107.10000000000001</v>
      </c>
      <c r="H4" s="6">
        <f t="shared" si="8"/>
        <v>224.91</v>
      </c>
      <c r="I4" s="6">
        <f t="shared" si="0"/>
        <v>-6.5444444444444514</v>
      </c>
      <c r="J4" s="6">
        <f t="shared" si="1"/>
        <v>42.829753086419842</v>
      </c>
      <c r="K4" s="6">
        <f t="shared" si="9"/>
        <v>51.596938012239228</v>
      </c>
      <c r="L4" s="6">
        <f t="shared" si="2"/>
        <v>-5.9475064322052233</v>
      </c>
      <c r="M4" s="6">
        <f t="shared" si="3"/>
        <v>35.372832761122503</v>
      </c>
      <c r="O4" s="7">
        <f>$H$11</f>
        <v>2860.0016100000003</v>
      </c>
      <c r="P4" s="7">
        <f>$D$11</f>
        <v>48.0946</v>
      </c>
      <c r="Q4" s="7">
        <f>$E$11</f>
        <v>113.40017000000002</v>
      </c>
      <c r="R4" s="7">
        <f>$F$11</f>
        <v>270.47890737999995</v>
      </c>
      <c r="T4" s="7">
        <f>$H$11</f>
        <v>2860.0016100000003</v>
      </c>
      <c r="U4" s="7">
        <f>$E$11</f>
        <v>113.40017000000002</v>
      </c>
      <c r="V4" s="7">
        <f>$F$11</f>
        <v>270.47890737999995</v>
      </c>
      <c r="X4" s="7">
        <f>$D$11</f>
        <v>48.0946</v>
      </c>
      <c r="Y4" s="7">
        <f>$H$11</f>
        <v>2860.0016100000003</v>
      </c>
      <c r="Z4" s="7">
        <f>$F$11</f>
        <v>270.47890737999995</v>
      </c>
    </row>
    <row r="5" spans="1:26" ht="15.75" x14ac:dyDescent="0.25">
      <c r="A5" s="2">
        <v>4</v>
      </c>
      <c r="B5" s="5">
        <v>2.2000000000000002</v>
      </c>
      <c r="C5" s="5">
        <v>57</v>
      </c>
      <c r="D5" s="6">
        <f t="shared" si="4"/>
        <v>4.8400000000000007</v>
      </c>
      <c r="E5" s="6">
        <f t="shared" si="5"/>
        <v>10.648000000000003</v>
      </c>
      <c r="F5" s="6">
        <f t="shared" si="6"/>
        <v>23.425600000000006</v>
      </c>
      <c r="G5" s="6">
        <f t="shared" si="7"/>
        <v>125.4</v>
      </c>
      <c r="H5" s="6">
        <f t="shared" si="8"/>
        <v>275.88000000000005</v>
      </c>
      <c r="I5" s="6">
        <f t="shared" si="0"/>
        <v>-0.54444444444445139</v>
      </c>
      <c r="J5" s="6">
        <f t="shared" si="1"/>
        <v>0.29641975308642732</v>
      </c>
      <c r="K5" s="6">
        <f t="shared" si="9"/>
        <v>54.711617782820618</v>
      </c>
      <c r="L5" s="6">
        <f t="shared" si="2"/>
        <v>-2.8328266616238338</v>
      </c>
      <c r="M5" s="6">
        <f t="shared" si="3"/>
        <v>8.0249068948068345</v>
      </c>
    </row>
    <row r="6" spans="1:26" ht="15.75" x14ac:dyDescent="0.25">
      <c r="A6" s="2">
        <v>5</v>
      </c>
      <c r="B6" s="5">
        <v>2.35</v>
      </c>
      <c r="C6" s="5">
        <v>60.5</v>
      </c>
      <c r="D6" s="6">
        <f t="shared" si="4"/>
        <v>5.5225000000000009</v>
      </c>
      <c r="E6" s="6">
        <f t="shared" si="5"/>
        <v>12.977875000000003</v>
      </c>
      <c r="F6" s="6">
        <f t="shared" si="6"/>
        <v>30.49800625000001</v>
      </c>
      <c r="G6" s="6">
        <f t="shared" si="7"/>
        <v>142.17500000000001</v>
      </c>
      <c r="H6" s="6">
        <f t="shared" si="8"/>
        <v>334.11125000000004</v>
      </c>
      <c r="I6" s="6">
        <f t="shared" si="0"/>
        <v>2.9555555555555486</v>
      </c>
      <c r="J6" s="6">
        <f t="shared" si="1"/>
        <v>8.7353086419752675</v>
      </c>
      <c r="K6" s="6">
        <f t="shared" si="9"/>
        <v>59.325777974554356</v>
      </c>
      <c r="L6" s="6">
        <f t="shared" si="2"/>
        <v>1.7813335301099045</v>
      </c>
      <c r="M6" s="6">
        <f t="shared" si="3"/>
        <v>3.1731491454938139</v>
      </c>
      <c r="O6" s="4" t="s">
        <v>13</v>
      </c>
      <c r="P6" s="3">
        <f>MDETERM(P2:R4)</f>
        <v>0.22320163420662781</v>
      </c>
      <c r="R6" s="4" t="s">
        <v>18</v>
      </c>
      <c r="S6" s="3">
        <f>P7/P6</f>
        <v>-20.939623151812985</v>
      </c>
    </row>
    <row r="7" spans="1:26" ht="15.75" x14ac:dyDescent="0.25">
      <c r="A7" s="2">
        <v>6</v>
      </c>
      <c r="B7" s="5">
        <v>2.44</v>
      </c>
      <c r="C7" s="5">
        <v>62.1</v>
      </c>
      <c r="D7" s="6">
        <f t="shared" si="4"/>
        <v>5.9535999999999998</v>
      </c>
      <c r="E7" s="6">
        <f t="shared" si="5"/>
        <v>14.526783999999999</v>
      </c>
      <c r="F7" s="6">
        <f t="shared" si="6"/>
        <v>35.445352959999994</v>
      </c>
      <c r="G7" s="6">
        <f t="shared" si="7"/>
        <v>151.524</v>
      </c>
      <c r="H7" s="6">
        <f t="shared" si="8"/>
        <v>369.71855999999997</v>
      </c>
      <c r="I7" s="6">
        <f t="shared" si="0"/>
        <v>4.55555555555555</v>
      </c>
      <c r="J7" s="6">
        <f t="shared" si="1"/>
        <v>20.753086419753036</v>
      </c>
      <c r="K7" s="6">
        <f t="shared" si="9"/>
        <v>62.060947038250902</v>
      </c>
      <c r="L7" s="6">
        <f t="shared" si="2"/>
        <v>4.5165025938064502</v>
      </c>
      <c r="M7" s="6">
        <f t="shared" si="3"/>
        <v>20.398795679860392</v>
      </c>
      <c r="O7" s="4" t="s">
        <v>14</v>
      </c>
      <c r="P7" s="7">
        <f>MDETERM(T2:V4)</f>
        <v>-4.6737581071555967</v>
      </c>
      <c r="R7" s="4" t="s">
        <v>17</v>
      </c>
      <c r="S7" s="3">
        <f>P8/P6</f>
        <v>37.781349593676516</v>
      </c>
    </row>
    <row r="8" spans="1:26" ht="15.75" x14ac:dyDescent="0.25">
      <c r="A8" s="2">
        <v>7</v>
      </c>
      <c r="B8" s="5">
        <v>2.54</v>
      </c>
      <c r="C8" s="5">
        <v>63</v>
      </c>
      <c r="D8" s="6">
        <f t="shared" si="4"/>
        <v>6.4516</v>
      </c>
      <c r="E8" s="6">
        <f t="shared" si="5"/>
        <v>16.387063999999999</v>
      </c>
      <c r="F8" s="6">
        <f t="shared" si="6"/>
        <v>41.623142559999998</v>
      </c>
      <c r="G8" s="6">
        <f t="shared" si="7"/>
        <v>160.02000000000001</v>
      </c>
      <c r="H8" s="6">
        <f t="shared" si="8"/>
        <v>406.45080000000002</v>
      </c>
      <c r="I8" s="6">
        <f t="shared" si="0"/>
        <v>5.4555555555555486</v>
      </c>
      <c r="J8" s="6">
        <f t="shared" si="1"/>
        <v>29.763086419753012</v>
      </c>
      <c r="K8" s="6">
        <f t="shared" si="9"/>
        <v>65.070708313861445</v>
      </c>
      <c r="L8" s="6">
        <f t="shared" si="2"/>
        <v>7.5262638694169937</v>
      </c>
      <c r="M8" s="6">
        <f t="shared" si="3"/>
        <v>56.644647832091657</v>
      </c>
      <c r="O8" s="4" t="s">
        <v>15</v>
      </c>
      <c r="P8" s="3">
        <f>MDETERM(X2:Z4)</f>
        <v>8.4328589718405116</v>
      </c>
      <c r="R8" s="4" t="s">
        <v>19</v>
      </c>
      <c r="S8" s="3">
        <f>P9/P6</f>
        <v>-1.5429190436889964</v>
      </c>
    </row>
    <row r="9" spans="1:26" ht="15.75" x14ac:dyDescent="0.25">
      <c r="A9" s="2">
        <v>8</v>
      </c>
      <c r="B9" s="5">
        <v>2.6</v>
      </c>
      <c r="C9" s="5">
        <v>65.3</v>
      </c>
      <c r="D9" s="6">
        <f t="shared" si="4"/>
        <v>6.7600000000000007</v>
      </c>
      <c r="E9" s="6">
        <f t="shared" si="5"/>
        <v>17.576000000000004</v>
      </c>
      <c r="F9" s="6">
        <f t="shared" si="6"/>
        <v>45.697600000000008</v>
      </c>
      <c r="G9" s="6">
        <f t="shared" si="7"/>
        <v>169.78</v>
      </c>
      <c r="H9" s="6">
        <f t="shared" si="8"/>
        <v>441.428</v>
      </c>
      <c r="I9" s="6">
        <f t="shared" si="0"/>
        <v>7.7555555555555458</v>
      </c>
      <c r="J9" s="6">
        <f t="shared" si="1"/>
        <v>60.148641975308493</v>
      </c>
      <c r="K9" s="6">
        <f t="shared" si="9"/>
        <v>66.861753056408347</v>
      </c>
      <c r="L9" s="6">
        <f t="shared" si="2"/>
        <v>9.3173086119638953</v>
      </c>
      <c r="M9" s="6">
        <f t="shared" si="3"/>
        <v>86.812239770576568</v>
      </c>
      <c r="O9" s="4" t="s">
        <v>16</v>
      </c>
      <c r="P9" s="3">
        <f>MDETERM(O2:Q4)</f>
        <v>-0.34438205199991134</v>
      </c>
    </row>
    <row r="10" spans="1:26" ht="15.75" x14ac:dyDescent="0.25">
      <c r="A10" s="2">
        <v>9</v>
      </c>
      <c r="B10" s="5">
        <v>2.63</v>
      </c>
      <c r="C10" s="5">
        <v>70</v>
      </c>
      <c r="D10" s="6">
        <f t="shared" si="4"/>
        <v>6.9168999999999992</v>
      </c>
      <c r="E10" s="6">
        <f t="shared" si="5"/>
        <v>18.191446999999997</v>
      </c>
      <c r="F10" s="6">
        <f t="shared" si="6"/>
        <v>47.843505609999987</v>
      </c>
      <c r="G10" s="6">
        <f t="shared" si="7"/>
        <v>184.1</v>
      </c>
      <c r="H10" s="6">
        <f t="shared" si="8"/>
        <v>484.18299999999994</v>
      </c>
      <c r="I10" s="6">
        <f t="shared" si="0"/>
        <v>12.455555555555549</v>
      </c>
      <c r="J10" s="6">
        <f t="shared" si="1"/>
        <v>155.1408641975307</v>
      </c>
      <c r="K10" s="6">
        <f t="shared" si="9"/>
        <v>67.753109546263843</v>
      </c>
      <c r="L10" s="6">
        <f t="shared" si="2"/>
        <v>10.208665101819392</v>
      </c>
      <c r="M10" s="6">
        <f t="shared" si="3"/>
        <v>104.21684316110513</v>
      </c>
      <c r="O10" s="22"/>
      <c r="P10" s="23"/>
    </row>
    <row r="11" spans="1:26" ht="15.75" x14ac:dyDescent="0.25">
      <c r="A11" s="13" t="s">
        <v>6</v>
      </c>
      <c r="B11" s="14">
        <f t="shared" ref="B11:M11" si="10">SUM(B2:B10)</f>
        <v>20.66</v>
      </c>
      <c r="C11" s="14">
        <f t="shared" si="10"/>
        <v>517.90000000000009</v>
      </c>
      <c r="D11" s="14">
        <f t="shared" si="10"/>
        <v>48.0946</v>
      </c>
      <c r="E11" s="14">
        <f t="shared" si="10"/>
        <v>113.40017000000002</v>
      </c>
      <c r="F11" s="14">
        <f t="shared" si="10"/>
        <v>270.47890737999995</v>
      </c>
      <c r="G11" s="14">
        <f t="shared" si="10"/>
        <v>1209.499</v>
      </c>
      <c r="H11" s="14">
        <f t="shared" si="10"/>
        <v>2860.0016100000003</v>
      </c>
      <c r="I11" s="14">
        <f t="shared" si="10"/>
        <v>-6.3948846218409017E-14</v>
      </c>
      <c r="J11" s="14">
        <f t="shared" si="10"/>
        <v>662.48222222222228</v>
      </c>
      <c r="K11" s="14">
        <f t="shared" si="10"/>
        <v>517.90000000043528</v>
      </c>
      <c r="L11" s="14">
        <f t="shared" si="10"/>
        <v>4.3515058223420056E-10</v>
      </c>
      <c r="M11" s="14">
        <f t="shared" si="10"/>
        <v>636.85499502550101</v>
      </c>
      <c r="O11" s="4" t="s">
        <v>20</v>
      </c>
      <c r="P11" s="3">
        <f>SQRT(M11/J11)</f>
        <v>0.98046741652077141</v>
      </c>
    </row>
    <row r="12" spans="1:26" ht="15.75" x14ac:dyDescent="0.25">
      <c r="A12" s="13" t="s">
        <v>7</v>
      </c>
      <c r="B12" s="14"/>
      <c r="C12" s="14">
        <f>C11/$A$10</f>
        <v>57.544444444444451</v>
      </c>
      <c r="D12" s="14"/>
      <c r="E12" s="14"/>
      <c r="F12" s="14"/>
      <c r="G12" s="14"/>
      <c r="H12" s="14"/>
      <c r="I12" s="14"/>
      <c r="J12" s="14"/>
      <c r="K12" s="14"/>
      <c r="L12" s="14"/>
      <c r="M12" s="14"/>
      <c r="O12" s="24"/>
      <c r="P12" s="25"/>
    </row>
    <row r="13" spans="1:26" ht="15" customHeight="1" x14ac:dyDescent="0.25">
      <c r="O13" s="4" t="s">
        <v>21</v>
      </c>
      <c r="P13" s="10">
        <f>(1-P11*P11)/SQRT(A10-1)</f>
        <v>1.3676733900137314E-2</v>
      </c>
    </row>
    <row r="14" spans="1:26" x14ac:dyDescent="0.25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O14" s="4" t="s">
        <v>22</v>
      </c>
      <c r="P14" s="3">
        <f>P11/P13</f>
        <v>71.688710453811453</v>
      </c>
    </row>
    <row r="15" spans="1:26" x14ac:dyDescent="0.25">
      <c r="A15" s="17"/>
      <c r="B15" s="18"/>
      <c r="C15" s="17"/>
      <c r="D15" s="17"/>
      <c r="E15" s="18"/>
      <c r="F15" s="17"/>
      <c r="G15" s="17"/>
      <c r="H15" s="17"/>
      <c r="I15" s="18"/>
      <c r="J15" s="18"/>
      <c r="K15" s="17"/>
      <c r="L15" s="17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spans="1:26" x14ac:dyDescent="0.25">
      <c r="A16" s="17"/>
      <c r="B16" s="17"/>
      <c r="C16" s="17"/>
      <c r="D16" s="17"/>
      <c r="E16" s="18"/>
      <c r="F16" s="17"/>
      <c r="G16" s="17"/>
      <c r="H16" s="17"/>
      <c r="I16" s="18"/>
      <c r="J16" s="17"/>
      <c r="K16" s="17"/>
      <c r="L16" s="17"/>
      <c r="R16" s="1"/>
      <c r="S16" s="1"/>
    </row>
    <row r="17" spans="1:23" x14ac:dyDescent="0.25">
      <c r="A17" s="17"/>
      <c r="B17" s="17"/>
      <c r="C17" s="17"/>
      <c r="D17" s="17"/>
      <c r="E17" s="18"/>
      <c r="F17" s="17"/>
      <c r="G17" s="17"/>
      <c r="H17" s="17"/>
      <c r="I17" s="18"/>
      <c r="J17" s="17"/>
      <c r="K17" s="17"/>
      <c r="L17" s="17"/>
      <c r="R17" s="1"/>
      <c r="S17" s="1"/>
    </row>
    <row r="18" spans="1:23" x14ac:dyDescent="0.25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R18" s="1"/>
      <c r="S18" s="1"/>
    </row>
    <row r="19" spans="1:23" x14ac:dyDescent="0.25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</row>
    <row r="20" spans="1:23" x14ac:dyDescent="0.25">
      <c r="A20" s="18"/>
      <c r="B20" s="17"/>
      <c r="C20" s="18"/>
      <c r="D20" s="18"/>
      <c r="E20" s="18"/>
      <c r="F20" s="18"/>
      <c r="G20" s="18"/>
      <c r="H20" s="18"/>
      <c r="I20" s="18"/>
      <c r="J20" s="18"/>
      <c r="K20" s="18"/>
      <c r="L20" s="17"/>
      <c r="M20" s="18"/>
      <c r="N20" s="17"/>
      <c r="O20" s="17"/>
      <c r="P20" s="18"/>
      <c r="Q20" s="17"/>
      <c r="R20" s="17"/>
      <c r="S20" s="17"/>
      <c r="T20" s="18"/>
      <c r="U20" s="18"/>
      <c r="V20" s="17"/>
      <c r="W20" s="17"/>
    </row>
    <row r="21" spans="1:23" x14ac:dyDescent="0.25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7"/>
      <c r="M21" s="17"/>
      <c r="N21" s="17"/>
      <c r="O21" s="17"/>
      <c r="P21" s="18"/>
      <c r="Q21" s="17"/>
      <c r="R21" s="17"/>
      <c r="S21" s="17"/>
      <c r="T21" s="18"/>
      <c r="U21" s="17"/>
      <c r="V21" s="17"/>
      <c r="W21" s="17"/>
    </row>
    <row r="22" spans="1:23" x14ac:dyDescent="0.25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7"/>
      <c r="M22" s="17"/>
      <c r="N22" s="17"/>
      <c r="O22" s="17"/>
      <c r="P22" s="18"/>
      <c r="Q22" s="17"/>
      <c r="R22" s="17"/>
      <c r="S22" s="17"/>
      <c r="T22" s="18"/>
      <c r="U22" s="17"/>
      <c r="V22" s="17"/>
      <c r="W22" s="17"/>
    </row>
    <row r="23" spans="1:23" x14ac:dyDescent="0.25">
      <c r="A23" s="15"/>
      <c r="B23" s="15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</row>
    <row r="24" spans="1:23" x14ac:dyDescent="0.25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</row>
    <row r="25" spans="1:23" ht="33.75" customHeight="1" x14ac:dyDescent="0.25">
      <c r="A25" s="16"/>
      <c r="B25" s="16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7"/>
      <c r="N25" s="18"/>
      <c r="O25" s="18"/>
      <c r="P25" s="18"/>
      <c r="Q25" s="18"/>
      <c r="R25" s="18"/>
      <c r="S25" s="18"/>
      <c r="T25" s="18"/>
      <c r="U25" s="18"/>
      <c r="V25" s="18"/>
      <c r="W25" s="18"/>
    </row>
    <row r="26" spans="1:23" x14ac:dyDescent="0.25">
      <c r="A26" s="18"/>
      <c r="B26" s="16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</row>
    <row r="27" spans="1:23" x14ac:dyDescent="0.25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</row>
    <row r="28" spans="1:23" x14ac:dyDescent="0.25">
      <c r="L28" s="20"/>
      <c r="M28" s="20"/>
      <c r="N28" s="18"/>
      <c r="O28" s="18"/>
      <c r="P28" s="18"/>
      <c r="Q28" s="18"/>
      <c r="R28" s="18"/>
      <c r="S28" s="18"/>
      <c r="T28" s="18"/>
      <c r="U28" s="18"/>
      <c r="V28" s="18"/>
      <c r="W28" s="18"/>
    </row>
    <row r="29" spans="1:23" x14ac:dyDescent="0.25"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</row>
    <row r="30" spans="1:23" x14ac:dyDescent="0.25">
      <c r="L30" s="21"/>
      <c r="M30" s="21"/>
      <c r="N30" s="18"/>
      <c r="O30" s="18"/>
      <c r="P30" s="18"/>
      <c r="Q30" s="18"/>
      <c r="R30" s="18"/>
      <c r="S30" s="18"/>
      <c r="T30" s="18"/>
      <c r="U30" s="18"/>
      <c r="V30" s="18"/>
      <c r="W30" s="18"/>
    </row>
    <row r="31" spans="1:23" x14ac:dyDescent="0.25">
      <c r="L31" s="18"/>
      <c r="M31" s="16"/>
      <c r="N31" s="18"/>
      <c r="O31" s="18"/>
      <c r="P31" s="18"/>
      <c r="Q31" s="18"/>
      <c r="R31" s="18"/>
      <c r="S31" s="18"/>
      <c r="T31" s="18"/>
      <c r="U31" s="18"/>
      <c r="V31" s="18"/>
      <c r="W31" s="18"/>
    </row>
    <row r="32" spans="1:23" x14ac:dyDescent="0.25"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</row>
  </sheetData>
  <mergeCells count="4">
    <mergeCell ref="L28:M28"/>
    <mergeCell ref="L30:M30"/>
    <mergeCell ref="O10:P10"/>
    <mergeCell ref="O12:P12"/>
  </mergeCells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1111</dc:creator>
  <cp:lastModifiedBy>Bram Alex</cp:lastModifiedBy>
  <dcterms:created xsi:type="dcterms:W3CDTF">2026-02-11T08:07:27Z</dcterms:created>
  <dcterms:modified xsi:type="dcterms:W3CDTF">2026-02-12T10:26:04Z</dcterms:modified>
</cp:coreProperties>
</file>
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xb\OneDrive\Робочий стіл\Коледж\4 курс\Статистичне моделювання\"/>
    </mc:Choice>
  </mc:AlternateContent>
  <xr:revisionPtr revIDLastSave="0" documentId="13_ncr:1_{934028A2-B42A-4F47-BE55-799AFEDAC8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9" i="1" l="1"/>
  <c r="H3" i="1"/>
  <c r="G6" i="1"/>
  <c r="H6" i="1" s="1"/>
  <c r="G2" i="1"/>
  <c r="H2" i="1" s="1"/>
  <c r="G5" i="1"/>
  <c r="H5" i="1" s="1"/>
  <c r="G7" i="1"/>
  <c r="H7" i="1" s="1"/>
  <c r="G8" i="1"/>
  <c r="H8" i="1" s="1"/>
  <c r="G4" i="1"/>
  <c r="H4" i="1" s="1"/>
  <c r="G10" i="1"/>
  <c r="H10" i="1" s="1"/>
  <c r="G9" i="1"/>
  <c r="G3" i="1"/>
  <c r="C11" i="1"/>
  <c r="B11" i="1"/>
  <c r="F6" i="1"/>
  <c r="F2" i="1"/>
  <c r="F5" i="1"/>
  <c r="F7" i="1"/>
  <c r="F8" i="1"/>
  <c r="F4" i="1"/>
  <c r="F10" i="1"/>
  <c r="F9" i="1"/>
  <c r="F3" i="1"/>
  <c r="E6" i="1"/>
  <c r="E2" i="1"/>
  <c r="E5" i="1"/>
  <c r="E7" i="1"/>
  <c r="E8" i="1"/>
  <c r="E4" i="1"/>
  <c r="E10" i="1"/>
  <c r="E9" i="1"/>
  <c r="E3" i="1"/>
  <c r="D6" i="1"/>
  <c r="D2" i="1"/>
  <c r="D5" i="1"/>
  <c r="D7" i="1"/>
  <c r="D8" i="1"/>
  <c r="D4" i="1"/>
  <c r="D10" i="1"/>
  <c r="D9" i="1"/>
  <c r="D3" i="1"/>
  <c r="F11" i="1" l="1"/>
  <c r="E11" i="1"/>
  <c r="D11" i="1"/>
  <c r="H11" i="1"/>
  <c r="G11" i="1"/>
</calcChain>
</file>

<file path=xl/sharedStrings.xml><?xml version="1.0" encoding="utf-8"?>
<sst xmlns="http://schemas.openxmlformats.org/spreadsheetml/2006/main" count="20" uniqueCount="20">
  <si>
    <t>XY</t>
  </si>
  <si>
    <t>1 </t>
  </si>
  <si>
    <t>2 </t>
  </si>
  <si>
    <t>3 </t>
  </si>
  <si>
    <t>4 </t>
  </si>
  <si>
    <t>5 </t>
  </si>
  <si>
    <t>6 </t>
  </si>
  <si>
    <t>7 </t>
  </si>
  <si>
    <t>8 </t>
  </si>
  <si>
    <t>9 </t>
  </si>
  <si>
    <t>Y</t>
  </si>
  <si>
    <t>x</t>
  </si>
  <si>
    <t>№</t>
  </si>
  <si>
    <t>X^2</t>
  </si>
  <si>
    <t>Y^2</t>
  </si>
  <si>
    <t>Разом</t>
  </si>
  <si>
    <t>a0</t>
  </si>
  <si>
    <t>a1</t>
  </si>
  <si>
    <t>y*</t>
  </si>
  <si>
    <t>(y-y*)^2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</si>
</sst>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2" fontId="0" fillId="0" borderId="0" xfId="0" applyNumberFormat="1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/>
    <xf numFmtId="2" fontId="0" fillId="0" borderId="0" xfId="0" applyNumberFormat="1" applyBorder="1"/>
    <xf numFmtId="2" fontId="0" fillId="2" borderId="1" xfId="0" applyNumberFormat="1" applyFill="1" applyBorder="1"/>
    <xf numFmtId="0" fontId="0" fillId="0" borderId="1" xfId="0" applyFill="1" applyBorder="1"/>
    <xf numFmtId="164" fontId="0" fillId="0" borderId="1" xfId="1" applyNumberFormat="1" applyFont="1" applyBorder="1"/>
    <xf numFmtId="2" fontId="0" fillId="2" borderId="0" xfId="0" applyNumberFormat="1" applyFill="1" applyBorder="1"/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Sheet1!$B$2:$B$10</c:f>
              <c:numCache>
                <c:formatCode>0.00</c:formatCode>
                <c:ptCount val="9"/>
                <c:pt idx="0">
                  <c:v>1.3</c:v>
                </c:pt>
                <c:pt idx="1">
                  <c:v>1.7</c:v>
                </c:pt>
                <c:pt idx="2">
                  <c:v>1.7</c:v>
                </c:pt>
                <c:pt idx="3">
                  <c:v>2</c:v>
                </c:pt>
                <c:pt idx="4">
                  <c:v>2.1</c:v>
                </c:pt>
                <c:pt idx="5">
                  <c:v>2.2999999999999998</c:v>
                </c:pt>
                <c:pt idx="6">
                  <c:v>2.5</c:v>
                </c:pt>
                <c:pt idx="7">
                  <c:v>2.6</c:v>
                </c:pt>
                <c:pt idx="8">
                  <c:v>2.8</c:v>
                </c:pt>
              </c:numCache>
            </c:numRef>
          </c:xVal>
          <c:yVal>
            <c:numRef>
              <c:f>Sheet1!$C$2:$C$10</c:f>
              <c:numCache>
                <c:formatCode>0.00</c:formatCode>
                <c:ptCount val="9"/>
                <c:pt idx="0">
                  <c:v>1.7</c:v>
                </c:pt>
                <c:pt idx="1">
                  <c:v>1.6</c:v>
                </c:pt>
                <c:pt idx="2">
                  <c:v>1.4</c:v>
                </c:pt>
                <c:pt idx="3">
                  <c:v>1.8</c:v>
                </c:pt>
                <c:pt idx="4">
                  <c:v>1.9</c:v>
                </c:pt>
                <c:pt idx="5">
                  <c:v>1.9</c:v>
                </c:pt>
                <c:pt idx="6">
                  <c:v>2</c:v>
                </c:pt>
                <c:pt idx="7">
                  <c:v>2.1</c:v>
                </c:pt>
                <c:pt idx="8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58-47E4-A79C-37A7D06F0183}"/>
            </c:ext>
          </c:extLst>
        </c:ser>
        <c:ser>
          <c:idx val="1"/>
          <c:order val="1"/>
          <c:tx>
            <c:v>YY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Sheet1!$B$2:$B$10</c:f>
              <c:numCache>
                <c:formatCode>0.00</c:formatCode>
                <c:ptCount val="9"/>
                <c:pt idx="0">
                  <c:v>1.3</c:v>
                </c:pt>
                <c:pt idx="1">
                  <c:v>1.7</c:v>
                </c:pt>
                <c:pt idx="2">
                  <c:v>1.7</c:v>
                </c:pt>
                <c:pt idx="3">
                  <c:v>2</c:v>
                </c:pt>
                <c:pt idx="4">
                  <c:v>2.1</c:v>
                </c:pt>
                <c:pt idx="5">
                  <c:v>2.2999999999999998</c:v>
                </c:pt>
                <c:pt idx="6">
                  <c:v>2.5</c:v>
                </c:pt>
                <c:pt idx="7">
                  <c:v>2.6</c:v>
                </c:pt>
                <c:pt idx="8">
                  <c:v>2.8</c:v>
                </c:pt>
              </c:numCache>
            </c:numRef>
          </c:xVal>
          <c:yVal>
            <c:numRef>
              <c:f>Sheet1!$G$2:$G$10</c:f>
              <c:numCache>
                <c:formatCode>0.00</c:formatCode>
                <c:ptCount val="9"/>
                <c:pt idx="0">
                  <c:v>1.4430000000000001</c:v>
                </c:pt>
                <c:pt idx="1">
                  <c:v>1.647</c:v>
                </c:pt>
                <c:pt idx="2">
                  <c:v>1.647</c:v>
                </c:pt>
                <c:pt idx="3">
                  <c:v>1.8</c:v>
                </c:pt>
                <c:pt idx="4">
                  <c:v>1.8510000000000002</c:v>
                </c:pt>
                <c:pt idx="5">
                  <c:v>1.9529999999999998</c:v>
                </c:pt>
                <c:pt idx="6">
                  <c:v>2.0549999999999997</c:v>
                </c:pt>
                <c:pt idx="7">
                  <c:v>2.1059999999999999</c:v>
                </c:pt>
                <c:pt idx="8">
                  <c:v>2.2080000000000002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58-47E4-A79C-37A7D06F0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9226272"/>
        <c:axId val="2049228352"/>
      </c:scatterChart>
      <c:valAx>
        <c:axId val="2049226272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2049228352"/>
        <c:crosses val="autoZero"/>
        <c:crossBetween val="midCat"/>
      </c:valAx>
      <c:valAx>
        <c:axId val="2049228352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2049226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6569</xdr:colOff>
      <xdr:row>0</xdr:row>
      <xdr:rowOff>0</xdr:rowOff>
    </xdr:from>
    <xdr:to>
      <xdr:col>15</xdr:col>
      <xdr:colOff>302173</xdr:colOff>
      <xdr:row>14</xdr:row>
      <xdr:rowOff>17079</xdr:rowOff>
    </xdr:to>
    <xdr:graphicFrame macro="">
      <xdr:nvGraphicFramePr>
        <xdr:cNvPr id="6" name="Діаграма 5">
          <a:extLst>
            <a:ext uri="{FF2B5EF4-FFF2-40B4-BE49-F238E27FC236}">
              <a16:creationId xmlns:a16="http://schemas.microsoft.com/office/drawing/2014/main" id="{A56ED61D-3069-45AB-A287-6F22036254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zoomScale="145" zoomScaleNormal="145" workbookViewId="0">
      <selection activeCell="H16" sqref="H16"/>
    </sheetView>
  </sheetViews>
  <sheetFormatPr defaultRowHeight="15" x14ac:dyDescent="0.25"/>
  <cols>
    <col min="2" max="3" width="9.5703125" bestFit="1" customWidth="1"/>
    <col min="4" max="4" width="8.85546875" customWidth="1"/>
    <col min="8" max="8" width="10.85546875" customWidth="1"/>
  </cols>
  <sheetData>
    <row r="1" spans="1:15" x14ac:dyDescent="0.25">
      <c r="A1" s="2" t="s">
        <v>12</v>
      </c>
      <c r="B1" s="2" t="s">
        <v>11</v>
      </c>
      <c r="C1" s="2" t="s">
        <v>10</v>
      </c>
      <c r="D1" s="2" t="s">
        <v>0</v>
      </c>
      <c r="E1" s="2" t="s">
        <v>13</v>
      </c>
      <c r="F1" s="2" t="s">
        <v>14</v>
      </c>
      <c r="G1" s="8" t="s">
        <v>18</v>
      </c>
      <c r="H1" s="8" t="s">
        <v>19</v>
      </c>
    </row>
    <row r="2" spans="1:15" ht="15.75" x14ac:dyDescent="0.25">
      <c r="A2" s="3" t="s">
        <v>3</v>
      </c>
      <c r="B2" s="4">
        <v>1.3</v>
      </c>
      <c r="C2" s="4">
        <v>1.7</v>
      </c>
      <c r="D2" s="5">
        <f t="shared" ref="D2:D10" si="0">B2*C2</f>
        <v>2.21</v>
      </c>
      <c r="E2" s="5">
        <f t="shared" ref="E2:E10" si="1">B2*B2</f>
        <v>1.6900000000000002</v>
      </c>
      <c r="F2" s="5">
        <f t="shared" ref="F2:F10" si="2">C2*C2</f>
        <v>2.8899999999999997</v>
      </c>
      <c r="G2" s="5">
        <f t="shared" ref="G2:G10" si="3">0.78+0.51*B2</f>
        <v>1.4430000000000001</v>
      </c>
      <c r="H2" s="9">
        <f t="shared" ref="H2:H10" si="4">(C2-G2)*(C2-G2)</f>
        <v>6.6048999999999941E-2</v>
      </c>
      <c r="I2" s="1"/>
      <c r="J2" s="1"/>
      <c r="K2" s="1"/>
      <c r="L2" s="1"/>
      <c r="M2" s="1"/>
      <c r="N2" s="1"/>
      <c r="O2" s="1"/>
    </row>
    <row r="3" spans="1:15" ht="15.75" x14ac:dyDescent="0.25">
      <c r="A3" s="3" t="s">
        <v>1</v>
      </c>
      <c r="B3" s="4">
        <v>1.7</v>
      </c>
      <c r="C3" s="4">
        <v>1.6</v>
      </c>
      <c r="D3" s="5">
        <f t="shared" si="0"/>
        <v>2.72</v>
      </c>
      <c r="E3" s="5">
        <f t="shared" si="1"/>
        <v>2.8899999999999997</v>
      </c>
      <c r="F3" s="5">
        <f t="shared" si="2"/>
        <v>2.5600000000000005</v>
      </c>
      <c r="G3" s="5">
        <f t="shared" si="3"/>
        <v>1.647</v>
      </c>
      <c r="H3" s="9">
        <f t="shared" si="4"/>
        <v>2.2089999999999935E-3</v>
      </c>
      <c r="I3" s="1"/>
      <c r="J3" s="1"/>
      <c r="K3" s="1"/>
      <c r="L3" s="1"/>
      <c r="M3" s="1"/>
      <c r="N3" s="1"/>
      <c r="O3" s="1"/>
    </row>
    <row r="4" spans="1:15" ht="15.75" x14ac:dyDescent="0.25">
      <c r="A4" s="3" t="s">
        <v>7</v>
      </c>
      <c r="B4" s="4">
        <v>1.7</v>
      </c>
      <c r="C4" s="4">
        <v>1.4</v>
      </c>
      <c r="D4" s="5">
        <f t="shared" si="0"/>
        <v>2.38</v>
      </c>
      <c r="E4" s="5">
        <f t="shared" si="1"/>
        <v>2.8899999999999997</v>
      </c>
      <c r="F4" s="5">
        <f t="shared" si="2"/>
        <v>1.9599999999999997</v>
      </c>
      <c r="G4" s="5">
        <f t="shared" si="3"/>
        <v>1.647</v>
      </c>
      <c r="H4" s="9">
        <f t="shared" si="4"/>
        <v>6.1009000000000056E-2</v>
      </c>
      <c r="I4" s="1"/>
      <c r="J4" s="1"/>
      <c r="K4" s="1"/>
      <c r="L4" s="1"/>
      <c r="M4" s="1"/>
      <c r="N4" s="1"/>
      <c r="O4" s="1"/>
    </row>
    <row r="5" spans="1:15" ht="15.75" x14ac:dyDescent="0.25">
      <c r="A5" s="3" t="s">
        <v>4</v>
      </c>
      <c r="B5" s="4">
        <v>2</v>
      </c>
      <c r="C5" s="4">
        <v>1.8</v>
      </c>
      <c r="D5" s="5">
        <f t="shared" si="0"/>
        <v>3.6</v>
      </c>
      <c r="E5" s="5">
        <f t="shared" si="1"/>
        <v>4</v>
      </c>
      <c r="F5" s="5">
        <f t="shared" si="2"/>
        <v>3.24</v>
      </c>
      <c r="G5" s="5">
        <f t="shared" si="3"/>
        <v>1.8</v>
      </c>
      <c r="H5" s="9">
        <f t="shared" si="4"/>
        <v>0</v>
      </c>
      <c r="I5" s="1"/>
      <c r="J5" s="1"/>
      <c r="K5" s="1"/>
      <c r="L5" s="1"/>
      <c r="M5" s="1"/>
      <c r="N5" s="1"/>
      <c r="O5" s="1"/>
    </row>
    <row r="6" spans="1:15" ht="15.75" x14ac:dyDescent="0.25">
      <c r="A6" s="3" t="s">
        <v>2</v>
      </c>
      <c r="B6" s="4">
        <v>2.1</v>
      </c>
      <c r="C6" s="4">
        <v>1.9</v>
      </c>
      <c r="D6" s="5">
        <f t="shared" si="0"/>
        <v>3.9899999999999998</v>
      </c>
      <c r="E6" s="5">
        <f t="shared" si="1"/>
        <v>4.41</v>
      </c>
      <c r="F6" s="5">
        <f t="shared" si="2"/>
        <v>3.61</v>
      </c>
      <c r="G6" s="5">
        <f t="shared" si="3"/>
        <v>1.8510000000000002</v>
      </c>
      <c r="H6" s="9">
        <f t="shared" si="4"/>
        <v>2.4009999999999717E-3</v>
      </c>
      <c r="I6" s="1"/>
      <c r="J6" s="1"/>
      <c r="K6" s="1"/>
      <c r="L6" s="1"/>
      <c r="M6" s="1"/>
      <c r="N6" s="1"/>
      <c r="O6" s="1"/>
    </row>
    <row r="7" spans="1:15" ht="15.75" x14ac:dyDescent="0.25">
      <c r="A7" s="3" t="s">
        <v>5</v>
      </c>
      <c r="B7" s="4">
        <v>2.2999999999999998</v>
      </c>
      <c r="C7" s="4">
        <v>1.9</v>
      </c>
      <c r="D7" s="5">
        <f t="shared" si="0"/>
        <v>4.3699999999999992</v>
      </c>
      <c r="E7" s="5">
        <f t="shared" si="1"/>
        <v>5.2899999999999991</v>
      </c>
      <c r="F7" s="5">
        <f t="shared" si="2"/>
        <v>3.61</v>
      </c>
      <c r="G7" s="5">
        <f t="shared" si="3"/>
        <v>1.9529999999999998</v>
      </c>
      <c r="H7" s="9">
        <f t="shared" si="4"/>
        <v>2.8089999999999934E-3</v>
      </c>
      <c r="I7" s="1"/>
      <c r="J7" s="1"/>
      <c r="K7" s="1"/>
      <c r="L7" s="1"/>
      <c r="M7" s="1"/>
      <c r="N7" s="1"/>
      <c r="O7" s="1"/>
    </row>
    <row r="8" spans="1:15" ht="15.75" x14ac:dyDescent="0.25">
      <c r="A8" s="3" t="s">
        <v>6</v>
      </c>
      <c r="B8" s="4">
        <v>2.5</v>
      </c>
      <c r="C8" s="4">
        <v>2</v>
      </c>
      <c r="D8" s="5">
        <f t="shared" si="0"/>
        <v>5</v>
      </c>
      <c r="E8" s="5">
        <f t="shared" si="1"/>
        <v>6.25</v>
      </c>
      <c r="F8" s="5">
        <f t="shared" si="2"/>
        <v>4</v>
      </c>
      <c r="G8" s="5">
        <f t="shared" si="3"/>
        <v>2.0549999999999997</v>
      </c>
      <c r="H8" s="9">
        <f t="shared" si="4"/>
        <v>3.0249999999999687E-3</v>
      </c>
      <c r="I8" s="1"/>
      <c r="J8" s="1"/>
      <c r="K8" s="1"/>
      <c r="L8" s="1"/>
      <c r="M8" s="1"/>
      <c r="N8" s="1"/>
      <c r="O8" s="1"/>
    </row>
    <row r="9" spans="1:15" ht="15.75" x14ac:dyDescent="0.25">
      <c r="A9" s="3" t="s">
        <v>9</v>
      </c>
      <c r="B9" s="4">
        <v>2.6</v>
      </c>
      <c r="C9" s="4">
        <v>2.1</v>
      </c>
      <c r="D9" s="5">
        <f t="shared" si="0"/>
        <v>5.4600000000000009</v>
      </c>
      <c r="E9" s="5">
        <f t="shared" si="1"/>
        <v>6.7600000000000007</v>
      </c>
      <c r="F9" s="5">
        <f t="shared" si="2"/>
        <v>4.41</v>
      </c>
      <c r="G9" s="5">
        <f t="shared" si="3"/>
        <v>2.1059999999999999</v>
      </c>
      <c r="H9" s="9">
        <f t="shared" si="4"/>
        <v>3.5999999999997399E-5</v>
      </c>
      <c r="I9" s="1"/>
      <c r="J9" s="1"/>
      <c r="K9" s="1"/>
      <c r="L9" s="1"/>
      <c r="M9" s="1"/>
      <c r="N9" s="1"/>
      <c r="O9" s="1"/>
    </row>
    <row r="10" spans="1:15" ht="15.75" x14ac:dyDescent="0.25">
      <c r="A10" s="3" t="s">
        <v>8</v>
      </c>
      <c r="B10" s="4">
        <v>2.8</v>
      </c>
      <c r="C10" s="4">
        <v>2.4</v>
      </c>
      <c r="D10" s="5">
        <f t="shared" si="0"/>
        <v>6.72</v>
      </c>
      <c r="E10" s="5">
        <f t="shared" si="1"/>
        <v>7.839999999999999</v>
      </c>
      <c r="F10" s="5">
        <f t="shared" si="2"/>
        <v>5.76</v>
      </c>
      <c r="G10" s="5">
        <f t="shared" si="3"/>
        <v>2.2080000000000002</v>
      </c>
      <c r="H10" s="9">
        <f t="shared" si="4"/>
        <v>3.6863999999999897E-2</v>
      </c>
      <c r="I10" s="1"/>
      <c r="J10" s="1"/>
      <c r="K10" s="1"/>
      <c r="L10" s="1"/>
      <c r="M10" s="1"/>
      <c r="N10" s="1"/>
      <c r="O10" s="1"/>
    </row>
    <row r="11" spans="1:15" x14ac:dyDescent="0.25">
      <c r="A11" s="7" t="s">
        <v>15</v>
      </c>
      <c r="B11" s="7">
        <f t="shared" ref="B11:H11" si="5">B2+B3+B4+B5+B6+B7+B8+B9+B10</f>
        <v>19.000000000000004</v>
      </c>
      <c r="C11" s="7">
        <f t="shared" si="5"/>
        <v>16.799999999999997</v>
      </c>
      <c r="D11" s="7">
        <f t="shared" si="5"/>
        <v>36.450000000000003</v>
      </c>
      <c r="E11" s="7">
        <f t="shared" si="5"/>
        <v>42.019999999999996</v>
      </c>
      <c r="F11" s="7">
        <f t="shared" si="5"/>
        <v>32.04</v>
      </c>
      <c r="G11" s="7">
        <f t="shared" si="5"/>
        <v>16.71</v>
      </c>
      <c r="H11" s="7">
        <f t="shared" si="5"/>
        <v>0.17440199999999983</v>
      </c>
      <c r="I11" s="1"/>
      <c r="J11" s="1"/>
      <c r="K11" s="1"/>
      <c r="L11" s="1"/>
      <c r="M11" s="1"/>
      <c r="N11" s="1"/>
      <c r="O11" s="1"/>
    </row>
    <row r="12" spans="1:15" x14ac:dyDescent="0.25">
      <c r="A12" s="1"/>
      <c r="B12" s="10" t="s">
        <v>16</v>
      </c>
      <c r="C12" s="6">
        <v>0.78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5">
      <c r="A13" s="1"/>
      <c r="B13" s="10" t="s">
        <v>17</v>
      </c>
      <c r="C13" s="6">
        <v>0.51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25">
      <c r="A14" s="1"/>
      <c r="B14" s="5"/>
      <c r="C14" s="5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5">
      <c r="A15" s="1"/>
      <c r="B15" s="5"/>
      <c r="C15" s="5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</sheetData>
  <sortState xmlns:xlrd2="http://schemas.microsoft.com/office/spreadsheetml/2017/richdata2" ref="A2:H28">
    <sortCondition ref="B1:B28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Alex</dc:creator>
  <cp:lastModifiedBy>Bram Alex</cp:lastModifiedBy>
  <dcterms:created xsi:type="dcterms:W3CDTF">2015-06-05T18:17:20Z</dcterms:created>
  <dcterms:modified xsi:type="dcterms:W3CDTF">2026-02-09T09:25:09Z</dcterms:modified>
</cp:coreProperties>
</file>